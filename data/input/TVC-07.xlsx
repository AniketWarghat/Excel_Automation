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ystragroup-my.sharepoint.com/personal/awarghat_systra_info/Documents/Live Project/Python/"/>
    </mc:Choice>
  </mc:AlternateContent>
  <xr:revisionPtr revIDLastSave="0" documentId="8_{FC05C7DD-AAC7-4A8D-A8D2-4D59D5C6D5D8}" xr6:coauthVersionLast="47" xr6:coauthVersionMax="47" xr10:uidLastSave="{00000000-0000-0000-0000-000000000000}"/>
  <bookViews>
    <workbookView xWindow="-108" yWindow="-108" windowWidth="23256" windowHeight="12456" xr2:uid="{21CC3C72-B298-436A-A4A3-A491E8365A66}"/>
  </bookViews>
  <sheets>
    <sheet name="TVC-07" sheetId="1" r:id="rId1"/>
  </sheets>
  <externalReferences>
    <externalReference r:id="rId2"/>
  </externalReferences>
  <definedNames>
    <definedName name="Excel_BuiltIn_Print_Area_1_1">#REF!</definedName>
    <definedName name="Excel_BuiltIn_Print_Area_1_1_1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3_1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35" i="1" l="1"/>
  <c r="AI135" i="1"/>
  <c r="Z135" i="1"/>
  <c r="Y135" i="1"/>
  <c r="X135" i="1"/>
  <c r="P135" i="1"/>
  <c r="O135" i="1"/>
  <c r="E135" i="1"/>
  <c r="D135" i="1"/>
  <c r="AP134" i="1"/>
  <c r="AP135" i="1" s="1"/>
  <c r="AO134" i="1"/>
  <c r="AO135" i="1" s="1"/>
  <c r="AN134" i="1"/>
  <c r="AN135" i="1" s="1"/>
  <c r="AM134" i="1"/>
  <c r="AM135" i="1" s="1"/>
  <c r="AL134" i="1"/>
  <c r="AL135" i="1" s="1"/>
  <c r="AK134" i="1"/>
  <c r="AK135" i="1" s="1"/>
  <c r="AJ134" i="1"/>
  <c r="AI134" i="1"/>
  <c r="AH134" i="1"/>
  <c r="AH135" i="1" s="1"/>
  <c r="AG134" i="1"/>
  <c r="AG135" i="1" s="1"/>
  <c r="AF134" i="1"/>
  <c r="AE134" i="1"/>
  <c r="AD134" i="1"/>
  <c r="AD135" i="1" s="1"/>
  <c r="AC134" i="1"/>
  <c r="AC135" i="1" s="1"/>
  <c r="AB134" i="1"/>
  <c r="AB135" i="1" s="1"/>
  <c r="AA134" i="1"/>
  <c r="AA135" i="1" s="1"/>
  <c r="Z134" i="1"/>
  <c r="Y134" i="1"/>
  <c r="X134" i="1"/>
  <c r="W134" i="1"/>
  <c r="W135" i="1" s="1"/>
  <c r="U134" i="1"/>
  <c r="U135" i="1" s="1"/>
  <c r="T134" i="1"/>
  <c r="T135" i="1" s="1"/>
  <c r="S134" i="1"/>
  <c r="S135" i="1" s="1"/>
  <c r="R134" i="1"/>
  <c r="R135" i="1" s="1"/>
  <c r="Q134" i="1"/>
  <c r="Q135" i="1" s="1"/>
  <c r="P134" i="1"/>
  <c r="O134" i="1"/>
  <c r="N134" i="1"/>
  <c r="N135" i="1" s="1"/>
  <c r="M134" i="1"/>
  <c r="M135" i="1" s="1"/>
  <c r="L134" i="1"/>
  <c r="K134" i="1"/>
  <c r="J134" i="1"/>
  <c r="J135" i="1" s="1"/>
  <c r="I134" i="1"/>
  <c r="I135" i="1" s="1"/>
  <c r="H134" i="1"/>
  <c r="H135" i="1" s="1"/>
  <c r="G134" i="1"/>
  <c r="G135" i="1" s="1"/>
  <c r="F134" i="1"/>
  <c r="E134" i="1"/>
  <c r="D134" i="1"/>
  <c r="C134" i="1"/>
  <c r="C135" i="1" s="1"/>
  <c r="B134" i="1"/>
  <c r="B135" i="1" s="1"/>
  <c r="AQ133" i="1"/>
  <c r="V133" i="1"/>
  <c r="AQ132" i="1"/>
  <c r="V132" i="1"/>
  <c r="V134" i="1" s="1"/>
  <c r="AQ131" i="1"/>
  <c r="AQ134" i="1" s="1"/>
  <c r="V131" i="1"/>
  <c r="AQ130" i="1"/>
  <c r="V130" i="1"/>
  <c r="AP129" i="1"/>
  <c r="AO129" i="1"/>
  <c r="AN129" i="1"/>
  <c r="AM129" i="1"/>
  <c r="AL129" i="1"/>
  <c r="AK129" i="1"/>
  <c r="AJ129" i="1"/>
  <c r="AI129" i="1"/>
  <c r="AH129" i="1"/>
  <c r="AG129" i="1"/>
  <c r="AF129" i="1"/>
  <c r="AF135" i="1" s="1"/>
  <c r="AE129" i="1"/>
  <c r="AE135" i="1" s="1"/>
  <c r="AD129" i="1"/>
  <c r="AC129" i="1"/>
  <c r="AB129" i="1"/>
  <c r="AA129" i="1"/>
  <c r="Z129" i="1"/>
  <c r="Y129" i="1"/>
  <c r="X129" i="1"/>
  <c r="W129" i="1"/>
  <c r="U129" i="1"/>
  <c r="T129" i="1"/>
  <c r="S129" i="1"/>
  <c r="R129" i="1"/>
  <c r="Q129" i="1"/>
  <c r="P129" i="1"/>
  <c r="O129" i="1"/>
  <c r="N129" i="1"/>
  <c r="M129" i="1"/>
  <c r="L129" i="1"/>
  <c r="L135" i="1" s="1"/>
  <c r="K129" i="1"/>
  <c r="K135" i="1" s="1"/>
  <c r="J129" i="1"/>
  <c r="I129" i="1"/>
  <c r="H129" i="1"/>
  <c r="G129" i="1"/>
  <c r="F129" i="1"/>
  <c r="E129" i="1"/>
  <c r="D129" i="1"/>
  <c r="C129" i="1"/>
  <c r="B129" i="1"/>
  <c r="AQ128" i="1"/>
  <c r="V128" i="1"/>
  <c r="AQ127" i="1"/>
  <c r="V127" i="1"/>
  <c r="AQ126" i="1"/>
  <c r="AQ129" i="1" s="1"/>
  <c r="V126" i="1"/>
  <c r="V129" i="1" s="1"/>
  <c r="AQ125" i="1"/>
  <c r="V125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Q123" i="1"/>
  <c r="V123" i="1"/>
  <c r="AQ122" i="1"/>
  <c r="V122" i="1"/>
  <c r="V124" i="1" s="1"/>
  <c r="AQ121" i="1"/>
  <c r="AQ124" i="1" s="1"/>
  <c r="V121" i="1"/>
  <c r="AQ120" i="1"/>
  <c r="V120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Q118" i="1"/>
  <c r="V118" i="1"/>
  <c r="AQ117" i="1"/>
  <c r="V117" i="1"/>
  <c r="AQ116" i="1"/>
  <c r="AQ119" i="1" s="1"/>
  <c r="V116" i="1"/>
  <c r="V119" i="1" s="1"/>
  <c r="AQ115" i="1"/>
  <c r="V115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Q113" i="1"/>
  <c r="V113" i="1"/>
  <c r="AQ112" i="1"/>
  <c r="V112" i="1"/>
  <c r="V114" i="1" s="1"/>
  <c r="AQ111" i="1"/>
  <c r="AQ114" i="1" s="1"/>
  <c r="V111" i="1"/>
  <c r="AQ110" i="1"/>
  <c r="V110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Q108" i="1"/>
  <c r="V108" i="1"/>
  <c r="AQ107" i="1"/>
  <c r="V107" i="1"/>
  <c r="AQ106" i="1"/>
  <c r="AQ109" i="1" s="1"/>
  <c r="V106" i="1"/>
  <c r="V109" i="1" s="1"/>
  <c r="AQ105" i="1"/>
  <c r="V105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Q103" i="1"/>
  <c r="V103" i="1"/>
  <c r="AQ102" i="1"/>
  <c r="V102" i="1"/>
  <c r="V104" i="1" s="1"/>
  <c r="AQ101" i="1"/>
  <c r="AQ104" i="1" s="1"/>
  <c r="V101" i="1"/>
  <c r="AQ100" i="1"/>
  <c r="V100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Q98" i="1"/>
  <c r="V98" i="1"/>
  <c r="AQ97" i="1"/>
  <c r="V97" i="1"/>
  <c r="AQ96" i="1"/>
  <c r="AQ99" i="1" s="1"/>
  <c r="V96" i="1"/>
  <c r="V99" i="1" s="1"/>
  <c r="AQ95" i="1"/>
  <c r="V95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Q93" i="1"/>
  <c r="V93" i="1"/>
  <c r="AQ92" i="1"/>
  <c r="V92" i="1"/>
  <c r="V94" i="1" s="1"/>
  <c r="AQ91" i="1"/>
  <c r="AQ94" i="1" s="1"/>
  <c r="V91" i="1"/>
  <c r="AQ90" i="1"/>
  <c r="V90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Q88" i="1"/>
  <c r="V88" i="1"/>
  <c r="AQ87" i="1"/>
  <c r="V87" i="1"/>
  <c r="AQ86" i="1"/>
  <c r="AQ89" i="1" s="1"/>
  <c r="V86" i="1"/>
  <c r="V89" i="1" s="1"/>
  <c r="AQ85" i="1"/>
  <c r="V85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Q83" i="1"/>
  <c r="V83" i="1"/>
  <c r="AQ82" i="1"/>
  <c r="V82" i="1"/>
  <c r="V84" i="1" s="1"/>
  <c r="AQ81" i="1"/>
  <c r="AQ84" i="1" s="1"/>
  <c r="V81" i="1"/>
  <c r="AQ80" i="1"/>
  <c r="V80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Q78" i="1"/>
  <c r="V78" i="1"/>
  <c r="AQ77" i="1"/>
  <c r="V77" i="1"/>
  <c r="AQ76" i="1"/>
  <c r="AQ79" i="1" s="1"/>
  <c r="V76" i="1"/>
  <c r="V79" i="1" s="1"/>
  <c r="AQ75" i="1"/>
  <c r="V75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Q73" i="1"/>
  <c r="V73" i="1"/>
  <c r="AQ72" i="1"/>
  <c r="V72" i="1"/>
  <c r="V74" i="1" s="1"/>
  <c r="AQ71" i="1"/>
  <c r="AQ74" i="1" s="1"/>
  <c r="V71" i="1"/>
  <c r="AQ70" i="1"/>
  <c r="V70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Q68" i="1"/>
  <c r="V68" i="1"/>
  <c r="AQ67" i="1"/>
  <c r="V67" i="1"/>
  <c r="AQ66" i="1"/>
  <c r="AQ69" i="1" s="1"/>
  <c r="V66" i="1"/>
  <c r="V69" i="1" s="1"/>
  <c r="AQ65" i="1"/>
  <c r="V65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Q63" i="1"/>
  <c r="V63" i="1"/>
  <c r="AQ62" i="1"/>
  <c r="V62" i="1"/>
  <c r="V64" i="1" s="1"/>
  <c r="AQ61" i="1"/>
  <c r="AQ64" i="1" s="1"/>
  <c r="V61" i="1"/>
  <c r="AQ60" i="1"/>
  <c r="V60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Q58" i="1"/>
  <c r="V58" i="1"/>
  <c r="AQ57" i="1"/>
  <c r="V57" i="1"/>
  <c r="AQ56" i="1"/>
  <c r="AQ59" i="1" s="1"/>
  <c r="V56" i="1"/>
  <c r="V59" i="1" s="1"/>
  <c r="AQ55" i="1"/>
  <c r="V55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Q53" i="1"/>
  <c r="V53" i="1"/>
  <c r="AQ52" i="1"/>
  <c r="V52" i="1"/>
  <c r="V54" i="1" s="1"/>
  <c r="AQ51" i="1"/>
  <c r="AQ54" i="1" s="1"/>
  <c r="V51" i="1"/>
  <c r="AQ50" i="1"/>
  <c r="V50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Q48" i="1"/>
  <c r="V48" i="1"/>
  <c r="AQ47" i="1"/>
  <c r="V47" i="1"/>
  <c r="AQ46" i="1"/>
  <c r="AQ49" i="1" s="1"/>
  <c r="V46" i="1"/>
  <c r="V49" i="1" s="1"/>
  <c r="AQ45" i="1"/>
  <c r="V45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Q43" i="1"/>
  <c r="V43" i="1"/>
  <c r="AQ42" i="1"/>
  <c r="V42" i="1"/>
  <c r="V44" i="1" s="1"/>
  <c r="AQ41" i="1"/>
  <c r="AQ44" i="1" s="1"/>
  <c r="V41" i="1"/>
  <c r="AQ40" i="1"/>
  <c r="V40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Q38" i="1"/>
  <c r="V38" i="1"/>
  <c r="AQ37" i="1"/>
  <c r="V37" i="1"/>
  <c r="AQ36" i="1"/>
  <c r="AQ39" i="1" s="1"/>
  <c r="V36" i="1"/>
  <c r="V39" i="1" s="1"/>
  <c r="AQ35" i="1"/>
  <c r="V35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Q33" i="1"/>
  <c r="V33" i="1"/>
  <c r="AQ32" i="1"/>
  <c r="V32" i="1"/>
  <c r="V34" i="1" s="1"/>
  <c r="AQ31" i="1"/>
  <c r="AQ34" i="1" s="1"/>
  <c r="V31" i="1"/>
  <c r="AQ30" i="1"/>
  <c r="V30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Q28" i="1"/>
  <c r="V28" i="1"/>
  <c r="AQ27" i="1"/>
  <c r="V27" i="1"/>
  <c r="AQ26" i="1"/>
  <c r="AQ29" i="1" s="1"/>
  <c r="V26" i="1"/>
  <c r="V29" i="1" s="1"/>
  <c r="AQ25" i="1"/>
  <c r="V25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F135" i="1" s="1"/>
  <c r="E24" i="1"/>
  <c r="D24" i="1"/>
  <c r="C24" i="1"/>
  <c r="B24" i="1"/>
  <c r="AQ23" i="1"/>
  <c r="V23" i="1"/>
  <c r="AQ22" i="1"/>
  <c r="V22" i="1"/>
  <c r="V24" i="1" s="1"/>
  <c r="AQ21" i="1"/>
  <c r="AQ24" i="1" s="1"/>
  <c r="V21" i="1"/>
  <c r="AQ20" i="1"/>
  <c r="V20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Q18" i="1"/>
  <c r="V18" i="1"/>
  <c r="AQ17" i="1"/>
  <c r="V17" i="1"/>
  <c r="AQ16" i="1"/>
  <c r="AQ19" i="1" s="1"/>
  <c r="V16" i="1"/>
  <c r="V19" i="1" s="1"/>
  <c r="AQ15" i="1"/>
  <c r="V15" i="1"/>
  <c r="V135" i="1" l="1"/>
  <c r="AQ135" i="1"/>
</calcChain>
</file>

<file path=xl/sharedStrings.xml><?xml version="1.0" encoding="utf-8"?>
<sst xmlns="http://schemas.openxmlformats.org/spreadsheetml/2006/main" count="190" uniqueCount="140">
  <si>
    <t>Job :</t>
  </si>
  <si>
    <t>Ujjain Project</t>
  </si>
  <si>
    <t>Location :</t>
  </si>
  <si>
    <t>TVC-07 Ujjain Agar Road</t>
  </si>
  <si>
    <t>Survey Day :</t>
  </si>
  <si>
    <t>Monday - Tuesday</t>
  </si>
  <si>
    <t>Survey Date :</t>
  </si>
  <si>
    <t>17-11-2025 to 18-11-2025</t>
  </si>
  <si>
    <t>Survey Time :</t>
  </si>
  <si>
    <t>06:00 - 06:00</t>
  </si>
  <si>
    <t>Interval :</t>
  </si>
  <si>
    <t>15 Minutes</t>
  </si>
  <si>
    <t>Description :</t>
  </si>
  <si>
    <t>Classified vehicle counts</t>
  </si>
  <si>
    <t>Time</t>
  </si>
  <si>
    <t>Agar Naka - Dewas Gate</t>
  </si>
  <si>
    <t>Dewas Gate - Agar Naka</t>
  </si>
  <si>
    <t>Passenger Vehicles</t>
  </si>
  <si>
    <t>Commercial Vehicles</t>
  </si>
  <si>
    <t>NMT</t>
  </si>
  <si>
    <t>Others</t>
  </si>
  <si>
    <t>Total</t>
  </si>
  <si>
    <t>Two Wheelers</t>
  </si>
  <si>
    <t>Car/Jeep/ Van</t>
  </si>
  <si>
    <t>Taxi/Cab</t>
  </si>
  <si>
    <t>3 Wheeler</t>
  </si>
  <si>
    <t>7 seater (3w) / Maxi Cabs</t>
  </si>
  <si>
    <t>E-Rickshaw</t>
  </si>
  <si>
    <t>Mini Bus</t>
  </si>
  <si>
    <t>Standard Bus</t>
  </si>
  <si>
    <t>Goods 3 Wheeler</t>
  </si>
  <si>
    <t>Mini LCV/ Tata Ace</t>
  </si>
  <si>
    <t>LCV</t>
  </si>
  <si>
    <t>2-3 Axle Truck</t>
  </si>
  <si>
    <t>MAV</t>
  </si>
  <si>
    <t>Cycle</t>
  </si>
  <si>
    <t>Cycle Rickshaw</t>
  </si>
  <si>
    <t>Private</t>
  </si>
  <si>
    <t>Government</t>
  </si>
  <si>
    <t>Non AC Private</t>
  </si>
  <si>
    <t>Non AC Government</t>
  </si>
  <si>
    <t>AC Private</t>
  </si>
  <si>
    <t>AC Government</t>
  </si>
  <si>
    <t>0600-0615</t>
  </si>
  <si>
    <t>0615-0630</t>
  </si>
  <si>
    <t>0630-0645</t>
  </si>
  <si>
    <t>0645-0700</t>
  </si>
  <si>
    <t>Hour Total</t>
  </si>
  <si>
    <t>0700-0715</t>
  </si>
  <si>
    <t>0715-0730</t>
  </si>
  <si>
    <t>0730-0745</t>
  </si>
  <si>
    <t>0745-0800</t>
  </si>
  <si>
    <t>0800-0815</t>
  </si>
  <si>
    <t>0815-0830</t>
  </si>
  <si>
    <t>0830-0845</t>
  </si>
  <si>
    <t>0845-0900</t>
  </si>
  <si>
    <t>0900-0915</t>
  </si>
  <si>
    <t>0915-0930</t>
  </si>
  <si>
    <t>0930-0945</t>
  </si>
  <si>
    <t>0945-1000</t>
  </si>
  <si>
    <t>1000-1015</t>
  </si>
  <si>
    <t>1015-1030</t>
  </si>
  <si>
    <t>1030-1045</t>
  </si>
  <si>
    <t>1045-1100</t>
  </si>
  <si>
    <t>1100-1115</t>
  </si>
  <si>
    <t>1115-1130</t>
  </si>
  <si>
    <t>1130-1145</t>
  </si>
  <si>
    <t>1145-1200</t>
  </si>
  <si>
    <t>1200-1215</t>
  </si>
  <si>
    <t>1215-1230</t>
  </si>
  <si>
    <t>1230-1245</t>
  </si>
  <si>
    <t>1245-1300</t>
  </si>
  <si>
    <t>1300-1315</t>
  </si>
  <si>
    <t>1315-1330</t>
  </si>
  <si>
    <t>1330-1345</t>
  </si>
  <si>
    <t>1345-1400</t>
  </si>
  <si>
    <t>1400-1415</t>
  </si>
  <si>
    <t>1415-1430</t>
  </si>
  <si>
    <t>1430-1445</t>
  </si>
  <si>
    <t>1445-1500</t>
  </si>
  <si>
    <t>1500-1515</t>
  </si>
  <si>
    <t>1515-1530</t>
  </si>
  <si>
    <t>1530-1545</t>
  </si>
  <si>
    <t>1545-1600</t>
  </si>
  <si>
    <t>1600-1615</t>
  </si>
  <si>
    <t>1615-1630</t>
  </si>
  <si>
    <t>1630-1645</t>
  </si>
  <si>
    <t>1645-1700</t>
  </si>
  <si>
    <t>1700-1715</t>
  </si>
  <si>
    <t>1715-1730</t>
  </si>
  <si>
    <t>1730-1745</t>
  </si>
  <si>
    <t>1745-1800</t>
  </si>
  <si>
    <t>1800-1815</t>
  </si>
  <si>
    <t>1815-1830</t>
  </si>
  <si>
    <t>1830-1845</t>
  </si>
  <si>
    <t>1845-1900</t>
  </si>
  <si>
    <t>1900-1915</t>
  </si>
  <si>
    <t>1915-1930</t>
  </si>
  <si>
    <t>1930-1945</t>
  </si>
  <si>
    <t>1945-2000</t>
  </si>
  <si>
    <t>2000-2015</t>
  </si>
  <si>
    <t>2015-2030</t>
  </si>
  <si>
    <t>2030-2045</t>
  </si>
  <si>
    <t>2045-2100</t>
  </si>
  <si>
    <t>2100-2115</t>
  </si>
  <si>
    <t>2115-2130</t>
  </si>
  <si>
    <t>2130-2145</t>
  </si>
  <si>
    <t>2145-2200</t>
  </si>
  <si>
    <t>2200-2215</t>
  </si>
  <si>
    <t>2215-2230</t>
  </si>
  <si>
    <t>2230-2245</t>
  </si>
  <si>
    <t>2245-2300</t>
  </si>
  <si>
    <t>2300-2315</t>
  </si>
  <si>
    <t>2315-2330</t>
  </si>
  <si>
    <t>2330-2345</t>
  </si>
  <si>
    <t>2345-2400</t>
  </si>
  <si>
    <t>0000-0015</t>
  </si>
  <si>
    <t>0015-0030</t>
  </si>
  <si>
    <t>0030-0045</t>
  </si>
  <si>
    <t>0045-0100</t>
  </si>
  <si>
    <t>0100-0115</t>
  </si>
  <si>
    <t>0115-0130</t>
  </si>
  <si>
    <t>0130-0145</t>
  </si>
  <si>
    <t>0145-0200</t>
  </si>
  <si>
    <t>0200-0215</t>
  </si>
  <si>
    <t>0215-0230</t>
  </si>
  <si>
    <t>0230-0245</t>
  </si>
  <si>
    <t>0245-0300</t>
  </si>
  <si>
    <t>0300-0315</t>
  </si>
  <si>
    <t>0315-0330</t>
  </si>
  <si>
    <t>0330-0345</t>
  </si>
  <si>
    <t>0345-0400</t>
  </si>
  <si>
    <t>0400-0415</t>
  </si>
  <si>
    <t>0415-0430</t>
  </si>
  <si>
    <t>0430-0445</t>
  </si>
  <si>
    <t>0445-0500</t>
  </si>
  <si>
    <t>0500-0515</t>
  </si>
  <si>
    <t>0515-0530</t>
  </si>
  <si>
    <t>0530-0545</t>
  </si>
  <si>
    <t>0545-0600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</si>
</sst>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>
    <font>
      <sz val="10"/>
      <name val="Arial"/>
      <charset val="134"/>
    </font>
    <font>
      <sz val="10"/>
      <name val="Arial"/>
      <charset val="134"/>
    </font>
    <font>
      <b/>
      <sz val="10"/>
      <name val="Calibri"/>
      <charset val="134"/>
      <scheme val="minor"/>
    </font>
    <font>
      <b/>
      <sz val="10"/>
      <name val="Arial"/>
      <charset val="134"/>
    </font>
    <font>
      <sz val="10"/>
      <name val="Calibri"/>
      <charset val="134"/>
      <scheme val="minor"/>
    </font>
    <font>
      <b/>
      <sz val="10"/>
      <color theme="4" tint="-0.249977111117893"/>
      <name val="Calibri"/>
      <charset val="134"/>
      <scheme val="minor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2E6B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>
      <alignment vertical="center"/>
    </xf>
    <xf numFmtId="0" fontId="1" fillId="0" borderId="0"/>
  </cellStyleXfs>
  <cellXfs count="63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/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 applyAlignment="1">
      <alignment vertical="center"/>
    </xf>
    <xf numFmtId="0" fontId="3" fillId="3" borderId="0" xfId="0" applyFont="1" applyFill="1"/>
    <xf numFmtId="164" fontId="3" fillId="2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vertical="center" wrapText="1"/>
    </xf>
    <xf numFmtId="0" fontId="5" fillId="5" borderId="18" xfId="0" applyFont="1" applyFill="1" applyBorder="1" applyAlignment="1">
      <alignment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5" fillId="6" borderId="30" xfId="2" applyFont="1" applyFill="1" applyBorder="1" applyAlignment="1">
      <alignment horizontal="center" vertical="center" wrapText="1"/>
    </xf>
    <xf numFmtId="0" fontId="5" fillId="6" borderId="31" xfId="2" applyFont="1" applyFill="1" applyBorder="1" applyAlignment="1">
      <alignment horizontal="center" vertical="center" wrapText="1"/>
    </xf>
    <xf numFmtId="0" fontId="5" fillId="6" borderId="32" xfId="2" applyFont="1" applyFill="1" applyBorder="1" applyAlignment="1">
      <alignment horizontal="center" vertical="center" wrapText="1"/>
    </xf>
    <xf numFmtId="0" fontId="5" fillId="6" borderId="33" xfId="2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9" fontId="2" fillId="7" borderId="0" xfId="1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CDC6B255-F5A4-408F-B41F-E6ECB52D547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stragroup-my.sharepoint.com/personal/awarghat_systra_info/Documents/Live%20Project/Python/TVC-07%20Ujjain%20Agar%20Road.xlsx" TargetMode="External"/><Relationship Id="rId1" Type="http://schemas.openxmlformats.org/officeDocument/2006/relationships/externalLinkPath" Target="TVC-07%20Ujjain%20Agar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te Details"/>
      <sheetName val="Site Plan"/>
      <sheetName val="TVC-07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9284-0B66-485B-9C19-BB6555B83831}">
  <dimension ref="A1:AQ135"/>
  <sheetViews>
    <sheetView tabSelected="1" topLeftCell="A7" zoomScale="80" zoomScaleNormal="80" workbookViewId="0">
      <selection activeCell="W11" sqref="W11:AQ11"/>
    </sheetView>
  </sheetViews>
  <sheetFormatPr defaultColWidth="11.5546875" defaultRowHeight="13.8"/>
  <cols>
    <col min="1" max="1" width="17.6640625" style="20" customWidth="1"/>
    <col min="2" max="43" width="7" style="20" customWidth="1"/>
    <col min="44" max="16384" width="11.5546875" style="20"/>
  </cols>
  <sheetData>
    <row r="1" spans="1:43" s="4" customFormat="1" ht="18.899999999999999" customHeight="1">
      <c r="A1" s="1"/>
      <c r="B1" s="2"/>
      <c r="C1" s="2"/>
      <c r="D1" s="2"/>
      <c r="E1" s="2"/>
      <c r="F1" s="2"/>
      <c r="G1" s="3"/>
      <c r="H1" s="3"/>
      <c r="I1" s="3"/>
      <c r="W1" s="5"/>
      <c r="X1" s="5"/>
      <c r="Y1" s="5"/>
      <c r="Z1" s="5"/>
      <c r="AA1" s="5"/>
    </row>
    <row r="2" spans="1:43" s="4" customFormat="1" ht="18.899999999999999" customHeight="1">
      <c r="A2" s="6" t="s">
        <v>0</v>
      </c>
      <c r="B2" s="7" t="s">
        <v>1</v>
      </c>
      <c r="C2" s="8"/>
      <c r="D2" s="8"/>
      <c r="E2" s="8"/>
      <c r="F2" s="2"/>
      <c r="G2" s="3"/>
      <c r="H2" s="3"/>
      <c r="I2" s="3"/>
      <c r="W2" s="9"/>
      <c r="X2" s="10"/>
      <c r="Y2" s="10"/>
      <c r="Z2" s="10"/>
      <c r="AA2" s="5"/>
    </row>
    <row r="3" spans="1:43" s="4" customFormat="1" ht="18.899999999999999" customHeight="1">
      <c r="A3" s="6" t="s">
        <v>2</v>
      </c>
      <c r="B3" s="7" t="s">
        <v>3</v>
      </c>
      <c r="C3" s="8"/>
      <c r="D3" s="8"/>
      <c r="E3" s="8"/>
      <c r="F3" s="2"/>
      <c r="G3" s="3"/>
      <c r="H3" s="3"/>
      <c r="I3" s="3"/>
      <c r="W3" s="9"/>
      <c r="X3" s="10"/>
      <c r="Y3" s="10"/>
      <c r="Z3" s="10"/>
      <c r="AA3" s="5"/>
    </row>
    <row r="4" spans="1:43" s="4" customFormat="1" ht="18.899999999999999" customHeight="1">
      <c r="A4" s="6" t="s">
        <v>4</v>
      </c>
      <c r="B4" s="7" t="s">
        <v>5</v>
      </c>
      <c r="C4" s="8"/>
      <c r="D4" s="8"/>
      <c r="E4" s="8"/>
      <c r="F4" s="2"/>
      <c r="G4" s="3"/>
      <c r="H4" s="3"/>
      <c r="I4" s="3"/>
      <c r="W4" s="9"/>
      <c r="X4" s="10"/>
      <c r="Y4" s="10"/>
      <c r="Z4" s="10"/>
      <c r="AA4" s="5"/>
    </row>
    <row r="5" spans="1:43" s="4" customFormat="1" ht="18.899999999999999" customHeight="1">
      <c r="A5" s="6" t="s">
        <v>6</v>
      </c>
      <c r="B5" s="11" t="s">
        <v>7</v>
      </c>
      <c r="C5" s="2"/>
      <c r="D5" s="2"/>
      <c r="E5" s="2"/>
      <c r="F5" s="2"/>
      <c r="G5" s="3"/>
      <c r="H5" s="3"/>
      <c r="I5" s="3"/>
      <c r="W5" s="12"/>
      <c r="X5" s="5"/>
      <c r="Y5" s="5"/>
      <c r="Z5" s="5"/>
      <c r="AA5" s="5"/>
    </row>
    <row r="6" spans="1:43" s="4" customFormat="1" ht="18.899999999999999" customHeight="1">
      <c r="A6" s="6" t="s">
        <v>8</v>
      </c>
      <c r="B6" s="7" t="s">
        <v>9</v>
      </c>
      <c r="C6" s="2"/>
      <c r="D6" s="2"/>
      <c r="E6" s="2"/>
      <c r="F6" s="2"/>
      <c r="G6" s="3"/>
      <c r="H6" s="3"/>
      <c r="I6" s="3"/>
      <c r="W6" s="9"/>
      <c r="X6" s="5"/>
      <c r="Y6" s="5"/>
      <c r="Z6" s="5"/>
      <c r="AA6" s="5"/>
    </row>
    <row r="7" spans="1:43" s="4" customFormat="1" ht="18.899999999999999" customHeight="1">
      <c r="A7" s="6" t="s">
        <v>10</v>
      </c>
      <c r="B7" s="7" t="s">
        <v>11</v>
      </c>
      <c r="C7" s="2"/>
      <c r="D7" s="2"/>
      <c r="E7" s="2"/>
      <c r="F7" s="2"/>
      <c r="G7" s="3"/>
      <c r="H7" s="3"/>
      <c r="I7" s="3"/>
      <c r="W7" s="9"/>
      <c r="X7" s="5"/>
      <c r="Y7" s="5"/>
      <c r="Z7" s="5"/>
      <c r="AA7" s="5"/>
    </row>
    <row r="8" spans="1:43" s="4" customFormat="1" ht="18.899999999999999" customHeight="1">
      <c r="A8" s="6" t="s">
        <v>12</v>
      </c>
      <c r="B8" s="7" t="s">
        <v>13</v>
      </c>
      <c r="C8" s="2"/>
      <c r="D8" s="2"/>
      <c r="E8" s="2"/>
      <c r="F8" s="2"/>
      <c r="G8" s="3"/>
      <c r="H8" s="3"/>
      <c r="I8" s="3"/>
      <c r="W8" s="9"/>
      <c r="X8" s="5"/>
      <c r="Y8" s="5"/>
      <c r="Z8" s="5"/>
      <c r="AA8" s="5"/>
    </row>
    <row r="9" spans="1:43" s="4" customFormat="1" ht="18.899999999999999" customHeight="1">
      <c r="A9" s="6"/>
      <c r="B9" s="13"/>
      <c r="C9" s="2"/>
      <c r="D9" s="2"/>
      <c r="E9" s="2"/>
      <c r="F9" s="2"/>
      <c r="G9" s="3"/>
      <c r="H9" s="3"/>
      <c r="I9" s="3"/>
      <c r="W9" s="14"/>
      <c r="X9" s="5"/>
      <c r="Y9" s="5"/>
      <c r="Z9" s="5"/>
      <c r="AA9" s="5"/>
    </row>
    <row r="10" spans="1:43" s="4" customFormat="1" ht="18.899999999999999" customHeight="1" thickBot="1">
      <c r="A10" s="15"/>
    </row>
    <row r="11" spans="1:43" ht="18.899999999999999" customHeight="1" thickBot="1">
      <c r="A11" s="16" t="s">
        <v>14</v>
      </c>
      <c r="B11" s="17" t="s">
        <v>15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17" t="s">
        <v>16</v>
      </c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9"/>
    </row>
    <row r="12" spans="1:43" ht="27" customHeight="1">
      <c r="A12" s="21"/>
      <c r="B12" s="22" t="s">
        <v>17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 t="s">
        <v>18</v>
      </c>
      <c r="O12" s="23"/>
      <c r="P12" s="23"/>
      <c r="Q12" s="23"/>
      <c r="R12" s="23"/>
      <c r="S12" s="23" t="s">
        <v>19</v>
      </c>
      <c r="T12" s="23"/>
      <c r="U12" s="24" t="s">
        <v>20</v>
      </c>
      <c r="V12" s="25" t="s">
        <v>21</v>
      </c>
      <c r="W12" s="22" t="s">
        <v>17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 t="s">
        <v>18</v>
      </c>
      <c r="AJ12" s="23"/>
      <c r="AK12" s="23"/>
      <c r="AL12" s="23"/>
      <c r="AM12" s="23"/>
      <c r="AN12" s="23" t="s">
        <v>19</v>
      </c>
      <c r="AO12" s="23"/>
      <c r="AP12" s="24" t="s">
        <v>20</v>
      </c>
      <c r="AQ12" s="25" t="s">
        <v>21</v>
      </c>
    </row>
    <row r="13" spans="1:43" ht="27" customHeight="1">
      <c r="A13" s="21"/>
      <c r="B13" s="26" t="s">
        <v>22</v>
      </c>
      <c r="C13" s="27" t="s">
        <v>23</v>
      </c>
      <c r="D13" s="27" t="s">
        <v>24</v>
      </c>
      <c r="E13" s="27" t="s">
        <v>25</v>
      </c>
      <c r="F13" s="27" t="s">
        <v>26</v>
      </c>
      <c r="G13" s="27" t="s">
        <v>27</v>
      </c>
      <c r="H13" s="28" t="s">
        <v>28</v>
      </c>
      <c r="I13" s="28"/>
      <c r="J13" s="28" t="s">
        <v>29</v>
      </c>
      <c r="K13" s="28"/>
      <c r="L13" s="28"/>
      <c r="M13" s="28"/>
      <c r="N13" s="29" t="s">
        <v>30</v>
      </c>
      <c r="O13" s="29" t="s">
        <v>31</v>
      </c>
      <c r="P13" s="29" t="s">
        <v>32</v>
      </c>
      <c r="Q13" s="29" t="s">
        <v>33</v>
      </c>
      <c r="R13" s="29" t="s">
        <v>34</v>
      </c>
      <c r="S13" s="27" t="s">
        <v>35</v>
      </c>
      <c r="T13" s="29" t="s">
        <v>36</v>
      </c>
      <c r="U13" s="30"/>
      <c r="V13" s="25"/>
      <c r="W13" s="26" t="s">
        <v>22</v>
      </c>
      <c r="X13" s="27" t="s">
        <v>23</v>
      </c>
      <c r="Y13" s="27" t="s">
        <v>24</v>
      </c>
      <c r="Z13" s="27" t="s">
        <v>25</v>
      </c>
      <c r="AA13" s="27" t="s">
        <v>26</v>
      </c>
      <c r="AB13" s="27" t="s">
        <v>27</v>
      </c>
      <c r="AC13" s="28" t="s">
        <v>28</v>
      </c>
      <c r="AD13" s="28"/>
      <c r="AE13" s="28" t="s">
        <v>29</v>
      </c>
      <c r="AF13" s="28"/>
      <c r="AG13" s="28"/>
      <c r="AH13" s="28"/>
      <c r="AI13" s="29" t="s">
        <v>30</v>
      </c>
      <c r="AJ13" s="29" t="s">
        <v>31</v>
      </c>
      <c r="AK13" s="29" t="s">
        <v>32</v>
      </c>
      <c r="AL13" s="29" t="s">
        <v>33</v>
      </c>
      <c r="AM13" s="29" t="s">
        <v>34</v>
      </c>
      <c r="AN13" s="27" t="s">
        <v>35</v>
      </c>
      <c r="AO13" s="29" t="s">
        <v>36</v>
      </c>
      <c r="AP13" s="30"/>
      <c r="AQ13" s="25"/>
    </row>
    <row r="14" spans="1:43" ht="27" customHeight="1" thickBot="1">
      <c r="A14" s="31"/>
      <c r="B14" s="32"/>
      <c r="C14" s="33"/>
      <c r="D14" s="33"/>
      <c r="E14" s="33"/>
      <c r="F14" s="33"/>
      <c r="G14" s="33"/>
      <c r="H14" s="34" t="s">
        <v>37</v>
      </c>
      <c r="I14" s="34" t="s">
        <v>38</v>
      </c>
      <c r="J14" s="34" t="s">
        <v>39</v>
      </c>
      <c r="K14" s="35" t="s">
        <v>40</v>
      </c>
      <c r="L14" s="35" t="s">
        <v>41</v>
      </c>
      <c r="M14" s="35" t="s">
        <v>42</v>
      </c>
      <c r="N14" s="36"/>
      <c r="O14" s="36"/>
      <c r="P14" s="36"/>
      <c r="Q14" s="36"/>
      <c r="R14" s="36"/>
      <c r="S14" s="33"/>
      <c r="T14" s="36"/>
      <c r="U14" s="37"/>
      <c r="V14" s="38"/>
      <c r="W14" s="32"/>
      <c r="X14" s="33"/>
      <c r="Y14" s="33"/>
      <c r="Z14" s="33"/>
      <c r="AA14" s="33"/>
      <c r="AB14" s="33"/>
      <c r="AC14" s="34" t="s">
        <v>37</v>
      </c>
      <c r="AD14" s="34" t="s">
        <v>38</v>
      </c>
      <c r="AE14" s="34" t="s">
        <v>39</v>
      </c>
      <c r="AF14" s="35" t="s">
        <v>40</v>
      </c>
      <c r="AG14" s="35" t="s">
        <v>41</v>
      </c>
      <c r="AH14" s="35" t="s">
        <v>42</v>
      </c>
      <c r="AI14" s="36"/>
      <c r="AJ14" s="36"/>
      <c r="AK14" s="36"/>
      <c r="AL14" s="36"/>
      <c r="AM14" s="36"/>
      <c r="AN14" s="33"/>
      <c r="AO14" s="36"/>
      <c r="AP14" s="37"/>
      <c r="AQ14" s="38"/>
    </row>
    <row r="15" spans="1:43" ht="18.899999999999999" customHeight="1">
      <c r="A15" s="39" t="s">
        <v>43</v>
      </c>
      <c r="B15" s="40">
        <v>58</v>
      </c>
      <c r="C15" s="41">
        <v>9</v>
      </c>
      <c r="D15" s="41">
        <v>0</v>
      </c>
      <c r="E15" s="41">
        <v>20</v>
      </c>
      <c r="F15" s="41">
        <v>0</v>
      </c>
      <c r="G15" s="41">
        <v>10</v>
      </c>
      <c r="H15" s="41">
        <v>0</v>
      </c>
      <c r="I15" s="41">
        <v>0</v>
      </c>
      <c r="J15" s="41">
        <v>3</v>
      </c>
      <c r="K15" s="42">
        <v>0</v>
      </c>
      <c r="L15" s="42">
        <v>0</v>
      </c>
      <c r="M15" s="42">
        <v>0</v>
      </c>
      <c r="N15" s="42">
        <v>1</v>
      </c>
      <c r="O15" s="42">
        <v>1</v>
      </c>
      <c r="P15" s="42">
        <v>2</v>
      </c>
      <c r="Q15" s="42">
        <v>1</v>
      </c>
      <c r="R15" s="42">
        <v>0</v>
      </c>
      <c r="S15" s="41">
        <v>5</v>
      </c>
      <c r="T15" s="42">
        <v>0</v>
      </c>
      <c r="U15" s="42">
        <v>1</v>
      </c>
      <c r="V15" s="43">
        <f t="shared" ref="V15:V23" si="0">SUM(B15:U15)</f>
        <v>111</v>
      </c>
      <c r="W15" s="40">
        <v>44</v>
      </c>
      <c r="X15" s="41">
        <v>10</v>
      </c>
      <c r="Y15" s="41">
        <v>0</v>
      </c>
      <c r="Z15" s="41">
        <v>7</v>
      </c>
      <c r="AA15" s="41">
        <v>0</v>
      </c>
      <c r="AB15" s="41">
        <v>7</v>
      </c>
      <c r="AC15" s="41">
        <v>0</v>
      </c>
      <c r="AD15" s="41">
        <v>0</v>
      </c>
      <c r="AE15" s="41">
        <v>1</v>
      </c>
      <c r="AF15" s="42">
        <v>0</v>
      </c>
      <c r="AG15" s="42">
        <v>0</v>
      </c>
      <c r="AH15" s="42">
        <v>0</v>
      </c>
      <c r="AI15" s="42">
        <v>1</v>
      </c>
      <c r="AJ15" s="42">
        <v>0</v>
      </c>
      <c r="AK15" s="42">
        <v>0</v>
      </c>
      <c r="AL15" s="42">
        <v>0</v>
      </c>
      <c r="AM15" s="42">
        <v>0</v>
      </c>
      <c r="AN15" s="41">
        <v>3</v>
      </c>
      <c r="AO15" s="42">
        <v>0</v>
      </c>
      <c r="AP15" s="42">
        <v>2</v>
      </c>
      <c r="AQ15" s="43">
        <f>SUM(W15:AP15)</f>
        <v>75</v>
      </c>
    </row>
    <row r="16" spans="1:43" ht="18.899999999999999" customHeight="1">
      <c r="A16" s="44" t="s">
        <v>44</v>
      </c>
      <c r="B16" s="45">
        <v>72</v>
      </c>
      <c r="C16" s="46">
        <v>15</v>
      </c>
      <c r="D16" s="46">
        <v>0</v>
      </c>
      <c r="E16" s="46">
        <v>25</v>
      </c>
      <c r="F16" s="46">
        <v>1</v>
      </c>
      <c r="G16" s="46">
        <v>12</v>
      </c>
      <c r="H16" s="46">
        <v>1</v>
      </c>
      <c r="I16" s="46">
        <v>0</v>
      </c>
      <c r="J16" s="46">
        <v>2</v>
      </c>
      <c r="K16" s="47">
        <v>0</v>
      </c>
      <c r="L16" s="47">
        <v>0</v>
      </c>
      <c r="M16" s="47">
        <v>0</v>
      </c>
      <c r="N16" s="47">
        <v>2</v>
      </c>
      <c r="O16" s="47">
        <v>2</v>
      </c>
      <c r="P16" s="47">
        <v>1</v>
      </c>
      <c r="Q16" s="47">
        <v>0</v>
      </c>
      <c r="R16" s="47">
        <v>0</v>
      </c>
      <c r="S16" s="46">
        <v>8</v>
      </c>
      <c r="T16" s="47">
        <v>0</v>
      </c>
      <c r="U16" s="47">
        <v>1</v>
      </c>
      <c r="V16" s="48">
        <f t="shared" si="0"/>
        <v>142</v>
      </c>
      <c r="W16" s="45">
        <v>53</v>
      </c>
      <c r="X16" s="46">
        <v>13</v>
      </c>
      <c r="Y16" s="46">
        <v>1</v>
      </c>
      <c r="Z16" s="46">
        <v>11</v>
      </c>
      <c r="AA16" s="46">
        <v>1</v>
      </c>
      <c r="AB16" s="46">
        <v>11</v>
      </c>
      <c r="AC16" s="46">
        <v>1</v>
      </c>
      <c r="AD16" s="46">
        <v>0</v>
      </c>
      <c r="AE16" s="46">
        <v>1</v>
      </c>
      <c r="AF16" s="47">
        <v>0</v>
      </c>
      <c r="AG16" s="47">
        <v>0</v>
      </c>
      <c r="AH16" s="47">
        <v>0</v>
      </c>
      <c r="AI16" s="47">
        <v>3</v>
      </c>
      <c r="AJ16" s="47">
        <v>2</v>
      </c>
      <c r="AK16" s="47">
        <v>1</v>
      </c>
      <c r="AL16" s="47">
        <v>1</v>
      </c>
      <c r="AM16" s="47">
        <v>0</v>
      </c>
      <c r="AN16" s="46">
        <v>1</v>
      </c>
      <c r="AO16" s="47">
        <v>0</v>
      </c>
      <c r="AP16" s="47">
        <v>7</v>
      </c>
      <c r="AQ16" s="48">
        <f>SUM(W16:AP16)</f>
        <v>107</v>
      </c>
    </row>
    <row r="17" spans="1:43" ht="18.899999999999999" customHeight="1">
      <c r="A17" s="44" t="s">
        <v>45</v>
      </c>
      <c r="B17" s="45">
        <v>103</v>
      </c>
      <c r="C17" s="46">
        <v>27</v>
      </c>
      <c r="D17" s="46">
        <v>0</v>
      </c>
      <c r="E17" s="46">
        <v>20</v>
      </c>
      <c r="F17" s="46">
        <v>3</v>
      </c>
      <c r="G17" s="46">
        <v>19</v>
      </c>
      <c r="H17" s="46">
        <v>0</v>
      </c>
      <c r="I17" s="46">
        <v>0</v>
      </c>
      <c r="J17" s="46">
        <v>4</v>
      </c>
      <c r="K17" s="47">
        <v>0</v>
      </c>
      <c r="L17" s="47">
        <v>0</v>
      </c>
      <c r="M17" s="47">
        <v>0</v>
      </c>
      <c r="N17" s="47">
        <v>1</v>
      </c>
      <c r="O17" s="47">
        <v>8</v>
      </c>
      <c r="P17" s="47">
        <v>2</v>
      </c>
      <c r="Q17" s="47">
        <v>0</v>
      </c>
      <c r="R17" s="47">
        <v>0</v>
      </c>
      <c r="S17" s="46">
        <v>5</v>
      </c>
      <c r="T17" s="47">
        <v>0</v>
      </c>
      <c r="U17" s="47">
        <v>3</v>
      </c>
      <c r="V17" s="48">
        <f t="shared" si="0"/>
        <v>195</v>
      </c>
      <c r="W17" s="45">
        <v>66</v>
      </c>
      <c r="X17" s="46">
        <v>22</v>
      </c>
      <c r="Y17" s="46">
        <v>2</v>
      </c>
      <c r="Z17" s="46">
        <v>12</v>
      </c>
      <c r="AA17" s="46">
        <v>0</v>
      </c>
      <c r="AB17" s="46">
        <v>10</v>
      </c>
      <c r="AC17" s="46">
        <v>4</v>
      </c>
      <c r="AD17" s="46">
        <v>0</v>
      </c>
      <c r="AE17" s="46">
        <v>3</v>
      </c>
      <c r="AF17" s="47">
        <v>0</v>
      </c>
      <c r="AG17" s="47">
        <v>0</v>
      </c>
      <c r="AH17" s="47">
        <v>0</v>
      </c>
      <c r="AI17" s="47">
        <v>4</v>
      </c>
      <c r="AJ17" s="47">
        <v>6</v>
      </c>
      <c r="AK17" s="47">
        <v>1</v>
      </c>
      <c r="AL17" s="47">
        <v>4</v>
      </c>
      <c r="AM17" s="47">
        <v>0</v>
      </c>
      <c r="AN17" s="46">
        <v>1</v>
      </c>
      <c r="AO17" s="47">
        <v>0</v>
      </c>
      <c r="AP17" s="47">
        <v>4</v>
      </c>
      <c r="AQ17" s="48">
        <f>SUM(W17:AP17)</f>
        <v>139</v>
      </c>
    </row>
    <row r="18" spans="1:43" ht="18.899999999999999" customHeight="1" thickBot="1">
      <c r="A18" s="49" t="s">
        <v>46</v>
      </c>
      <c r="B18" s="45">
        <v>155</v>
      </c>
      <c r="C18" s="46">
        <v>26</v>
      </c>
      <c r="D18" s="46">
        <v>1</v>
      </c>
      <c r="E18" s="46">
        <v>27</v>
      </c>
      <c r="F18" s="46">
        <v>2</v>
      </c>
      <c r="G18" s="46">
        <v>15</v>
      </c>
      <c r="H18" s="46">
        <v>1</v>
      </c>
      <c r="I18" s="46">
        <v>0</v>
      </c>
      <c r="J18" s="46">
        <v>8</v>
      </c>
      <c r="K18" s="47">
        <v>0</v>
      </c>
      <c r="L18" s="47">
        <v>0</v>
      </c>
      <c r="M18" s="47">
        <v>0</v>
      </c>
      <c r="N18" s="47">
        <v>4</v>
      </c>
      <c r="O18" s="47">
        <v>9</v>
      </c>
      <c r="P18" s="47">
        <v>2</v>
      </c>
      <c r="Q18" s="47">
        <v>1</v>
      </c>
      <c r="R18" s="47">
        <v>0</v>
      </c>
      <c r="S18" s="46">
        <v>10</v>
      </c>
      <c r="T18" s="47">
        <v>0</v>
      </c>
      <c r="U18" s="47">
        <v>2</v>
      </c>
      <c r="V18" s="48">
        <f t="shared" si="0"/>
        <v>263</v>
      </c>
      <c r="W18" s="45">
        <v>88</v>
      </c>
      <c r="X18" s="46">
        <v>30</v>
      </c>
      <c r="Y18" s="46">
        <v>1</v>
      </c>
      <c r="Z18" s="46">
        <v>20</v>
      </c>
      <c r="AA18" s="46">
        <v>6</v>
      </c>
      <c r="AB18" s="46">
        <v>9</v>
      </c>
      <c r="AC18" s="46">
        <v>1</v>
      </c>
      <c r="AD18" s="46">
        <v>0</v>
      </c>
      <c r="AE18" s="46">
        <v>7</v>
      </c>
      <c r="AF18" s="47">
        <v>0</v>
      </c>
      <c r="AG18" s="47">
        <v>0</v>
      </c>
      <c r="AH18" s="47">
        <v>0</v>
      </c>
      <c r="AI18" s="47">
        <v>3</v>
      </c>
      <c r="AJ18" s="47">
        <v>2</v>
      </c>
      <c r="AK18" s="47">
        <v>1</v>
      </c>
      <c r="AL18" s="47">
        <v>1</v>
      </c>
      <c r="AM18" s="47">
        <v>0</v>
      </c>
      <c r="AN18" s="46">
        <v>1</v>
      </c>
      <c r="AO18" s="47">
        <v>0</v>
      </c>
      <c r="AP18" s="47">
        <v>2</v>
      </c>
      <c r="AQ18" s="48">
        <f>SUM(W18:AP18)</f>
        <v>172</v>
      </c>
    </row>
    <row r="19" spans="1:43" ht="18.899999999999999" customHeight="1" thickBot="1">
      <c r="A19" s="50" t="s">
        <v>47</v>
      </c>
      <c r="B19" s="51">
        <f t="shared" ref="B19:AQ19" si="1">SUM(B15:B18)</f>
        <v>388</v>
      </c>
      <c r="C19" s="52">
        <f t="shared" si="1"/>
        <v>77</v>
      </c>
      <c r="D19" s="52">
        <f t="shared" si="1"/>
        <v>1</v>
      </c>
      <c r="E19" s="52">
        <f t="shared" si="1"/>
        <v>92</v>
      </c>
      <c r="F19" s="52">
        <f t="shared" si="1"/>
        <v>6</v>
      </c>
      <c r="G19" s="52">
        <f t="shared" si="1"/>
        <v>56</v>
      </c>
      <c r="H19" s="52">
        <f t="shared" si="1"/>
        <v>2</v>
      </c>
      <c r="I19" s="52">
        <f t="shared" si="1"/>
        <v>0</v>
      </c>
      <c r="J19" s="52">
        <f t="shared" si="1"/>
        <v>17</v>
      </c>
      <c r="K19" s="53">
        <f t="shared" si="1"/>
        <v>0</v>
      </c>
      <c r="L19" s="53">
        <f t="shared" si="1"/>
        <v>0</v>
      </c>
      <c r="M19" s="53">
        <f t="shared" si="1"/>
        <v>0</v>
      </c>
      <c r="N19" s="53">
        <f t="shared" si="1"/>
        <v>8</v>
      </c>
      <c r="O19" s="53">
        <f t="shared" si="1"/>
        <v>20</v>
      </c>
      <c r="P19" s="53">
        <f t="shared" si="1"/>
        <v>7</v>
      </c>
      <c r="Q19" s="53">
        <f t="shared" si="1"/>
        <v>2</v>
      </c>
      <c r="R19" s="53">
        <f t="shared" si="1"/>
        <v>0</v>
      </c>
      <c r="S19" s="52">
        <f t="shared" si="1"/>
        <v>28</v>
      </c>
      <c r="T19" s="53">
        <f t="shared" si="1"/>
        <v>0</v>
      </c>
      <c r="U19" s="53">
        <f t="shared" si="1"/>
        <v>7</v>
      </c>
      <c r="V19" s="54">
        <f t="shared" si="1"/>
        <v>711</v>
      </c>
      <c r="W19" s="51">
        <f t="shared" si="1"/>
        <v>251</v>
      </c>
      <c r="X19" s="52">
        <f t="shared" si="1"/>
        <v>75</v>
      </c>
      <c r="Y19" s="52">
        <f t="shared" si="1"/>
        <v>4</v>
      </c>
      <c r="Z19" s="52">
        <f t="shared" si="1"/>
        <v>50</v>
      </c>
      <c r="AA19" s="52">
        <f t="shared" si="1"/>
        <v>7</v>
      </c>
      <c r="AB19" s="52">
        <f t="shared" si="1"/>
        <v>37</v>
      </c>
      <c r="AC19" s="52">
        <f t="shared" si="1"/>
        <v>6</v>
      </c>
      <c r="AD19" s="52">
        <f t="shared" si="1"/>
        <v>0</v>
      </c>
      <c r="AE19" s="52">
        <f t="shared" si="1"/>
        <v>12</v>
      </c>
      <c r="AF19" s="53">
        <f t="shared" si="1"/>
        <v>0</v>
      </c>
      <c r="AG19" s="53">
        <f t="shared" si="1"/>
        <v>0</v>
      </c>
      <c r="AH19" s="53">
        <f t="shared" si="1"/>
        <v>0</v>
      </c>
      <c r="AI19" s="53">
        <f t="shared" si="1"/>
        <v>11</v>
      </c>
      <c r="AJ19" s="53">
        <f t="shared" si="1"/>
        <v>10</v>
      </c>
      <c r="AK19" s="53">
        <f t="shared" si="1"/>
        <v>3</v>
      </c>
      <c r="AL19" s="53">
        <f t="shared" si="1"/>
        <v>6</v>
      </c>
      <c r="AM19" s="53">
        <f t="shared" si="1"/>
        <v>0</v>
      </c>
      <c r="AN19" s="52">
        <f t="shared" si="1"/>
        <v>6</v>
      </c>
      <c r="AO19" s="53">
        <f t="shared" si="1"/>
        <v>0</v>
      </c>
      <c r="AP19" s="53">
        <f t="shared" si="1"/>
        <v>15</v>
      </c>
      <c r="AQ19" s="54">
        <f t="shared" si="1"/>
        <v>493</v>
      </c>
    </row>
    <row r="20" spans="1:43" ht="18.899999999999999" customHeight="1">
      <c r="A20" s="55" t="s">
        <v>48</v>
      </c>
      <c r="B20" s="40">
        <v>176</v>
      </c>
      <c r="C20" s="41">
        <v>28</v>
      </c>
      <c r="D20" s="41">
        <v>2</v>
      </c>
      <c r="E20" s="41">
        <v>31</v>
      </c>
      <c r="F20" s="41">
        <v>5</v>
      </c>
      <c r="G20" s="41">
        <v>39</v>
      </c>
      <c r="H20" s="41">
        <v>1</v>
      </c>
      <c r="I20" s="41">
        <v>0</v>
      </c>
      <c r="J20" s="41">
        <v>10</v>
      </c>
      <c r="K20" s="42">
        <v>0</v>
      </c>
      <c r="L20" s="42">
        <v>0</v>
      </c>
      <c r="M20" s="42">
        <v>0</v>
      </c>
      <c r="N20" s="42">
        <v>3</v>
      </c>
      <c r="O20" s="42">
        <v>4</v>
      </c>
      <c r="P20" s="42">
        <v>0</v>
      </c>
      <c r="Q20" s="42">
        <v>1</v>
      </c>
      <c r="R20" s="42">
        <v>0</v>
      </c>
      <c r="S20" s="41">
        <v>9</v>
      </c>
      <c r="T20" s="42">
        <v>0</v>
      </c>
      <c r="U20" s="42">
        <v>3</v>
      </c>
      <c r="V20" s="43">
        <f t="shared" si="0"/>
        <v>312</v>
      </c>
      <c r="W20" s="40">
        <v>112</v>
      </c>
      <c r="X20" s="41">
        <v>35</v>
      </c>
      <c r="Y20" s="41">
        <v>2</v>
      </c>
      <c r="Z20" s="41">
        <v>28</v>
      </c>
      <c r="AA20" s="41">
        <v>4</v>
      </c>
      <c r="AB20" s="41">
        <v>22</v>
      </c>
      <c r="AC20" s="41">
        <v>2</v>
      </c>
      <c r="AD20" s="41">
        <v>0</v>
      </c>
      <c r="AE20" s="41">
        <v>4</v>
      </c>
      <c r="AF20" s="42">
        <v>0</v>
      </c>
      <c r="AG20" s="42">
        <v>0</v>
      </c>
      <c r="AH20" s="42">
        <v>0</v>
      </c>
      <c r="AI20" s="42">
        <v>2</v>
      </c>
      <c r="AJ20" s="42">
        <v>4</v>
      </c>
      <c r="AK20" s="42">
        <v>1</v>
      </c>
      <c r="AL20" s="42">
        <v>0</v>
      </c>
      <c r="AM20" s="42">
        <v>0</v>
      </c>
      <c r="AN20" s="41">
        <v>6</v>
      </c>
      <c r="AO20" s="42">
        <v>0</v>
      </c>
      <c r="AP20" s="42">
        <v>7</v>
      </c>
      <c r="AQ20" s="43">
        <f>SUM(W20:AP20)</f>
        <v>229</v>
      </c>
    </row>
    <row r="21" spans="1:43" ht="18.899999999999999" customHeight="1">
      <c r="A21" s="44" t="s">
        <v>49</v>
      </c>
      <c r="B21" s="45">
        <v>258</v>
      </c>
      <c r="C21" s="46">
        <v>30</v>
      </c>
      <c r="D21" s="46">
        <v>2</v>
      </c>
      <c r="E21" s="46">
        <v>45</v>
      </c>
      <c r="F21" s="46">
        <v>5</v>
      </c>
      <c r="G21" s="46">
        <v>41</v>
      </c>
      <c r="H21" s="46">
        <v>0</v>
      </c>
      <c r="I21" s="46">
        <v>0</v>
      </c>
      <c r="J21" s="46">
        <v>6</v>
      </c>
      <c r="K21" s="47">
        <v>0</v>
      </c>
      <c r="L21" s="47">
        <v>0</v>
      </c>
      <c r="M21" s="47">
        <v>0</v>
      </c>
      <c r="N21" s="47">
        <v>2</v>
      </c>
      <c r="O21" s="47">
        <v>10</v>
      </c>
      <c r="P21" s="47">
        <v>0</v>
      </c>
      <c r="Q21" s="47">
        <v>0</v>
      </c>
      <c r="R21" s="47">
        <v>0</v>
      </c>
      <c r="S21" s="46">
        <v>13</v>
      </c>
      <c r="T21" s="47">
        <v>0</v>
      </c>
      <c r="U21" s="47">
        <v>2</v>
      </c>
      <c r="V21" s="48">
        <f t="shared" si="0"/>
        <v>414</v>
      </c>
      <c r="W21" s="45">
        <v>159</v>
      </c>
      <c r="X21" s="46">
        <v>32</v>
      </c>
      <c r="Y21" s="46">
        <v>2</v>
      </c>
      <c r="Z21" s="46">
        <v>40</v>
      </c>
      <c r="AA21" s="46">
        <v>15</v>
      </c>
      <c r="AB21" s="46">
        <v>20</v>
      </c>
      <c r="AC21" s="46">
        <v>1</v>
      </c>
      <c r="AD21" s="46">
        <v>0</v>
      </c>
      <c r="AE21" s="46">
        <v>5</v>
      </c>
      <c r="AF21" s="47">
        <v>0</v>
      </c>
      <c r="AG21" s="47">
        <v>0</v>
      </c>
      <c r="AH21" s="47">
        <v>0</v>
      </c>
      <c r="AI21" s="47">
        <v>1</v>
      </c>
      <c r="AJ21" s="47">
        <v>8</v>
      </c>
      <c r="AK21" s="47">
        <v>1</v>
      </c>
      <c r="AL21" s="47">
        <v>0</v>
      </c>
      <c r="AM21" s="47">
        <v>0</v>
      </c>
      <c r="AN21" s="46">
        <v>11</v>
      </c>
      <c r="AO21" s="47">
        <v>1</v>
      </c>
      <c r="AP21" s="47">
        <v>5</v>
      </c>
      <c r="AQ21" s="48">
        <f>SUM(W21:AP21)</f>
        <v>301</v>
      </c>
    </row>
    <row r="22" spans="1:43" ht="18.899999999999999" customHeight="1">
      <c r="A22" s="56" t="s">
        <v>50</v>
      </c>
      <c r="B22" s="45">
        <v>310</v>
      </c>
      <c r="C22" s="46">
        <v>65</v>
      </c>
      <c r="D22" s="46">
        <v>5</v>
      </c>
      <c r="E22" s="46">
        <v>64</v>
      </c>
      <c r="F22" s="46">
        <v>11</v>
      </c>
      <c r="G22" s="46">
        <v>31</v>
      </c>
      <c r="H22" s="46">
        <v>4</v>
      </c>
      <c r="I22" s="46">
        <v>0</v>
      </c>
      <c r="J22" s="46">
        <v>2</v>
      </c>
      <c r="K22" s="47">
        <v>1</v>
      </c>
      <c r="L22" s="47">
        <v>0</v>
      </c>
      <c r="M22" s="47">
        <v>0</v>
      </c>
      <c r="N22" s="47">
        <v>1</v>
      </c>
      <c r="O22" s="47">
        <v>12</v>
      </c>
      <c r="P22" s="47">
        <v>1</v>
      </c>
      <c r="Q22" s="47">
        <v>0</v>
      </c>
      <c r="R22" s="47">
        <v>0</v>
      </c>
      <c r="S22" s="46">
        <v>25</v>
      </c>
      <c r="T22" s="47">
        <v>0</v>
      </c>
      <c r="U22" s="47">
        <v>3</v>
      </c>
      <c r="V22" s="48">
        <f t="shared" si="0"/>
        <v>535</v>
      </c>
      <c r="W22" s="45">
        <v>220</v>
      </c>
      <c r="X22" s="46">
        <v>40</v>
      </c>
      <c r="Y22" s="46">
        <v>4</v>
      </c>
      <c r="Z22" s="46">
        <v>40</v>
      </c>
      <c r="AA22" s="46">
        <v>6</v>
      </c>
      <c r="AB22" s="46">
        <v>23</v>
      </c>
      <c r="AC22" s="46">
        <v>2</v>
      </c>
      <c r="AD22" s="46">
        <v>0</v>
      </c>
      <c r="AE22" s="46">
        <v>9</v>
      </c>
      <c r="AF22" s="47">
        <v>0</v>
      </c>
      <c r="AG22" s="47">
        <v>0</v>
      </c>
      <c r="AH22" s="47">
        <v>0</v>
      </c>
      <c r="AI22" s="47">
        <v>0</v>
      </c>
      <c r="AJ22" s="47">
        <v>11</v>
      </c>
      <c r="AK22" s="47">
        <v>0</v>
      </c>
      <c r="AL22" s="47">
        <v>0</v>
      </c>
      <c r="AM22" s="47">
        <v>0</v>
      </c>
      <c r="AN22" s="46">
        <v>9</v>
      </c>
      <c r="AO22" s="47">
        <v>1</v>
      </c>
      <c r="AP22" s="47">
        <v>4</v>
      </c>
      <c r="AQ22" s="48">
        <f>SUM(W22:AP22)</f>
        <v>369</v>
      </c>
    </row>
    <row r="23" spans="1:43" ht="18.899999999999999" customHeight="1" thickBot="1">
      <c r="A23" s="49" t="s">
        <v>51</v>
      </c>
      <c r="B23" s="45">
        <v>298</v>
      </c>
      <c r="C23" s="46">
        <v>68</v>
      </c>
      <c r="D23" s="46">
        <v>4</v>
      </c>
      <c r="E23" s="46">
        <v>40</v>
      </c>
      <c r="F23" s="46">
        <v>8</v>
      </c>
      <c r="G23" s="46">
        <v>30</v>
      </c>
      <c r="H23" s="46">
        <v>1</v>
      </c>
      <c r="I23" s="46">
        <v>0</v>
      </c>
      <c r="J23" s="46">
        <v>6</v>
      </c>
      <c r="K23" s="47">
        <v>0</v>
      </c>
      <c r="L23" s="47">
        <v>0</v>
      </c>
      <c r="M23" s="47">
        <v>0</v>
      </c>
      <c r="N23" s="47">
        <v>3</v>
      </c>
      <c r="O23" s="47">
        <v>10</v>
      </c>
      <c r="P23" s="47">
        <v>0</v>
      </c>
      <c r="Q23" s="47">
        <v>0</v>
      </c>
      <c r="R23" s="47">
        <v>0</v>
      </c>
      <c r="S23" s="46">
        <v>20</v>
      </c>
      <c r="T23" s="47">
        <v>0</v>
      </c>
      <c r="U23" s="47">
        <v>1</v>
      </c>
      <c r="V23" s="48">
        <f t="shared" si="0"/>
        <v>489</v>
      </c>
      <c r="W23" s="45">
        <v>219</v>
      </c>
      <c r="X23" s="46">
        <v>59</v>
      </c>
      <c r="Y23" s="46">
        <v>4</v>
      </c>
      <c r="Z23" s="46">
        <v>22</v>
      </c>
      <c r="AA23" s="46">
        <v>7</v>
      </c>
      <c r="AB23" s="46">
        <v>27</v>
      </c>
      <c r="AC23" s="46">
        <v>1</v>
      </c>
      <c r="AD23" s="46">
        <v>0</v>
      </c>
      <c r="AE23" s="46">
        <v>13</v>
      </c>
      <c r="AF23" s="47">
        <v>0</v>
      </c>
      <c r="AG23" s="47">
        <v>0</v>
      </c>
      <c r="AH23" s="47">
        <v>0</v>
      </c>
      <c r="AI23" s="47">
        <v>1</v>
      </c>
      <c r="AJ23" s="47">
        <v>15</v>
      </c>
      <c r="AK23" s="47">
        <v>2</v>
      </c>
      <c r="AL23" s="47">
        <v>1</v>
      </c>
      <c r="AM23" s="47">
        <v>0</v>
      </c>
      <c r="AN23" s="46">
        <v>8</v>
      </c>
      <c r="AO23" s="47">
        <v>1</v>
      </c>
      <c r="AP23" s="47">
        <v>7</v>
      </c>
      <c r="AQ23" s="48">
        <f>SUM(W23:AP23)</f>
        <v>387</v>
      </c>
    </row>
    <row r="24" spans="1:43" ht="18.899999999999999" customHeight="1" thickBot="1">
      <c r="A24" s="50" t="s">
        <v>47</v>
      </c>
      <c r="B24" s="51">
        <f t="shared" ref="B24:AQ24" si="2">SUM(B20:B23)</f>
        <v>1042</v>
      </c>
      <c r="C24" s="52">
        <f t="shared" si="2"/>
        <v>191</v>
      </c>
      <c r="D24" s="52">
        <f t="shared" si="2"/>
        <v>13</v>
      </c>
      <c r="E24" s="52">
        <f t="shared" si="2"/>
        <v>180</v>
      </c>
      <c r="F24" s="52">
        <f t="shared" si="2"/>
        <v>29</v>
      </c>
      <c r="G24" s="52">
        <f t="shared" si="2"/>
        <v>141</v>
      </c>
      <c r="H24" s="52">
        <f t="shared" si="2"/>
        <v>6</v>
      </c>
      <c r="I24" s="52">
        <f t="shared" si="2"/>
        <v>0</v>
      </c>
      <c r="J24" s="52">
        <f t="shared" si="2"/>
        <v>24</v>
      </c>
      <c r="K24" s="53">
        <f t="shared" si="2"/>
        <v>1</v>
      </c>
      <c r="L24" s="53">
        <f t="shared" si="2"/>
        <v>0</v>
      </c>
      <c r="M24" s="53">
        <f t="shared" si="2"/>
        <v>0</v>
      </c>
      <c r="N24" s="53">
        <f t="shared" si="2"/>
        <v>9</v>
      </c>
      <c r="O24" s="53">
        <f t="shared" si="2"/>
        <v>36</v>
      </c>
      <c r="P24" s="53">
        <f t="shared" si="2"/>
        <v>1</v>
      </c>
      <c r="Q24" s="53">
        <f t="shared" si="2"/>
        <v>1</v>
      </c>
      <c r="R24" s="53">
        <f t="shared" si="2"/>
        <v>0</v>
      </c>
      <c r="S24" s="52">
        <f t="shared" si="2"/>
        <v>67</v>
      </c>
      <c r="T24" s="53">
        <f t="shared" si="2"/>
        <v>0</v>
      </c>
      <c r="U24" s="53">
        <f t="shared" si="2"/>
        <v>9</v>
      </c>
      <c r="V24" s="54">
        <f t="shared" si="2"/>
        <v>1750</v>
      </c>
      <c r="W24" s="51">
        <f t="shared" si="2"/>
        <v>710</v>
      </c>
      <c r="X24" s="52">
        <f t="shared" si="2"/>
        <v>166</v>
      </c>
      <c r="Y24" s="52">
        <f t="shared" si="2"/>
        <v>12</v>
      </c>
      <c r="Z24" s="52">
        <f t="shared" si="2"/>
        <v>130</v>
      </c>
      <c r="AA24" s="52">
        <f t="shared" si="2"/>
        <v>32</v>
      </c>
      <c r="AB24" s="52">
        <f t="shared" si="2"/>
        <v>92</v>
      </c>
      <c r="AC24" s="52">
        <f t="shared" si="2"/>
        <v>6</v>
      </c>
      <c r="AD24" s="52">
        <f t="shared" si="2"/>
        <v>0</v>
      </c>
      <c r="AE24" s="52">
        <f t="shared" si="2"/>
        <v>31</v>
      </c>
      <c r="AF24" s="53">
        <f t="shared" si="2"/>
        <v>0</v>
      </c>
      <c r="AG24" s="53">
        <f t="shared" si="2"/>
        <v>0</v>
      </c>
      <c r="AH24" s="53">
        <f t="shared" si="2"/>
        <v>0</v>
      </c>
      <c r="AI24" s="53">
        <f t="shared" si="2"/>
        <v>4</v>
      </c>
      <c r="AJ24" s="53">
        <f t="shared" si="2"/>
        <v>38</v>
      </c>
      <c r="AK24" s="53">
        <f t="shared" si="2"/>
        <v>4</v>
      </c>
      <c r="AL24" s="53">
        <f t="shared" si="2"/>
        <v>1</v>
      </c>
      <c r="AM24" s="53">
        <f t="shared" si="2"/>
        <v>0</v>
      </c>
      <c r="AN24" s="52">
        <f t="shared" si="2"/>
        <v>34</v>
      </c>
      <c r="AO24" s="53">
        <f t="shared" si="2"/>
        <v>3</v>
      </c>
      <c r="AP24" s="53">
        <f t="shared" si="2"/>
        <v>23</v>
      </c>
      <c r="AQ24" s="54">
        <f t="shared" si="2"/>
        <v>1286</v>
      </c>
    </row>
    <row r="25" spans="1:43" ht="18.899999999999999" customHeight="1">
      <c r="A25" s="57" t="s">
        <v>52</v>
      </c>
      <c r="B25" s="40">
        <v>287</v>
      </c>
      <c r="C25" s="41">
        <v>64</v>
      </c>
      <c r="D25" s="41">
        <v>3</v>
      </c>
      <c r="E25" s="41">
        <v>36</v>
      </c>
      <c r="F25" s="41">
        <v>7</v>
      </c>
      <c r="G25" s="41">
        <v>34</v>
      </c>
      <c r="H25" s="41">
        <v>2</v>
      </c>
      <c r="I25" s="41">
        <v>0</v>
      </c>
      <c r="J25" s="41">
        <v>9</v>
      </c>
      <c r="K25" s="42">
        <v>0</v>
      </c>
      <c r="L25" s="42">
        <v>0</v>
      </c>
      <c r="M25" s="42">
        <v>0</v>
      </c>
      <c r="N25" s="42">
        <v>4</v>
      </c>
      <c r="O25" s="42">
        <v>12</v>
      </c>
      <c r="P25" s="42">
        <v>0</v>
      </c>
      <c r="Q25" s="42">
        <v>1</v>
      </c>
      <c r="R25" s="42">
        <v>0</v>
      </c>
      <c r="S25" s="41">
        <v>13</v>
      </c>
      <c r="T25" s="42">
        <v>0</v>
      </c>
      <c r="U25" s="42">
        <v>7</v>
      </c>
      <c r="V25" s="43">
        <f t="shared" ref="V25:V28" si="3">SUM(B25:U25)</f>
        <v>479</v>
      </c>
      <c r="W25" s="40">
        <v>224</v>
      </c>
      <c r="X25" s="41">
        <v>88</v>
      </c>
      <c r="Y25" s="41">
        <v>6</v>
      </c>
      <c r="Z25" s="41">
        <v>24</v>
      </c>
      <c r="AA25" s="41">
        <v>10</v>
      </c>
      <c r="AB25" s="41">
        <v>55</v>
      </c>
      <c r="AC25" s="41">
        <v>2</v>
      </c>
      <c r="AD25" s="41">
        <v>0</v>
      </c>
      <c r="AE25" s="41">
        <v>11</v>
      </c>
      <c r="AF25" s="42">
        <v>0</v>
      </c>
      <c r="AG25" s="42">
        <v>0</v>
      </c>
      <c r="AH25" s="42">
        <v>0</v>
      </c>
      <c r="AI25" s="42">
        <v>1</v>
      </c>
      <c r="AJ25" s="42">
        <v>12</v>
      </c>
      <c r="AK25" s="42">
        <v>5</v>
      </c>
      <c r="AL25" s="42">
        <v>3</v>
      </c>
      <c r="AM25" s="42">
        <v>0</v>
      </c>
      <c r="AN25" s="41">
        <v>3</v>
      </c>
      <c r="AO25" s="42">
        <v>0</v>
      </c>
      <c r="AP25" s="42">
        <v>5</v>
      </c>
      <c r="AQ25" s="43">
        <f>SUM(W25:AP25)</f>
        <v>449</v>
      </c>
    </row>
    <row r="26" spans="1:43" ht="18.899999999999999" customHeight="1">
      <c r="A26" s="44" t="s">
        <v>53</v>
      </c>
      <c r="B26" s="45">
        <v>295</v>
      </c>
      <c r="C26" s="46">
        <v>60</v>
      </c>
      <c r="D26" s="46">
        <v>1</v>
      </c>
      <c r="E26" s="46">
        <v>35</v>
      </c>
      <c r="F26" s="46">
        <v>9</v>
      </c>
      <c r="G26" s="46">
        <v>44</v>
      </c>
      <c r="H26" s="46">
        <v>0</v>
      </c>
      <c r="I26" s="46">
        <v>0</v>
      </c>
      <c r="J26" s="46">
        <v>10</v>
      </c>
      <c r="K26" s="47">
        <v>0</v>
      </c>
      <c r="L26" s="47">
        <v>1</v>
      </c>
      <c r="M26" s="47">
        <v>0</v>
      </c>
      <c r="N26" s="47">
        <v>2</v>
      </c>
      <c r="O26" s="47">
        <v>11</v>
      </c>
      <c r="P26" s="47">
        <v>0</v>
      </c>
      <c r="Q26" s="47">
        <v>0</v>
      </c>
      <c r="R26" s="47">
        <v>0</v>
      </c>
      <c r="S26" s="46">
        <v>10</v>
      </c>
      <c r="T26" s="47">
        <v>0</v>
      </c>
      <c r="U26" s="47">
        <v>4</v>
      </c>
      <c r="V26" s="48">
        <f t="shared" si="3"/>
        <v>482</v>
      </c>
      <c r="W26" s="45">
        <v>241</v>
      </c>
      <c r="X26" s="46">
        <v>65</v>
      </c>
      <c r="Y26" s="46">
        <v>2</v>
      </c>
      <c r="Z26" s="46">
        <v>43</v>
      </c>
      <c r="AA26" s="46">
        <v>7</v>
      </c>
      <c r="AB26" s="46">
        <v>31</v>
      </c>
      <c r="AC26" s="46">
        <v>1</v>
      </c>
      <c r="AD26" s="46">
        <v>0</v>
      </c>
      <c r="AE26" s="46">
        <v>9</v>
      </c>
      <c r="AF26" s="47">
        <v>0</v>
      </c>
      <c r="AG26" s="47">
        <v>1</v>
      </c>
      <c r="AH26" s="47">
        <v>0</v>
      </c>
      <c r="AI26" s="47">
        <v>4</v>
      </c>
      <c r="AJ26" s="47">
        <v>15</v>
      </c>
      <c r="AK26" s="47">
        <v>1</v>
      </c>
      <c r="AL26" s="47">
        <v>3</v>
      </c>
      <c r="AM26" s="47">
        <v>0</v>
      </c>
      <c r="AN26" s="46">
        <v>7</v>
      </c>
      <c r="AO26" s="47">
        <v>0</v>
      </c>
      <c r="AP26" s="47">
        <v>4</v>
      </c>
      <c r="AQ26" s="48">
        <f>SUM(W26:AP26)</f>
        <v>434</v>
      </c>
    </row>
    <row r="27" spans="1:43" ht="18.899999999999999" customHeight="1">
      <c r="A27" s="44" t="s">
        <v>54</v>
      </c>
      <c r="B27" s="45">
        <v>306</v>
      </c>
      <c r="C27" s="46">
        <v>56</v>
      </c>
      <c r="D27" s="46">
        <v>2</v>
      </c>
      <c r="E27" s="46">
        <v>44</v>
      </c>
      <c r="F27" s="46">
        <v>9</v>
      </c>
      <c r="G27" s="46">
        <v>47</v>
      </c>
      <c r="H27" s="46">
        <v>1</v>
      </c>
      <c r="I27" s="46">
        <v>0</v>
      </c>
      <c r="J27" s="46">
        <v>11</v>
      </c>
      <c r="K27" s="47">
        <v>2</v>
      </c>
      <c r="L27" s="47">
        <v>0</v>
      </c>
      <c r="M27" s="47">
        <v>0</v>
      </c>
      <c r="N27" s="47">
        <v>1</v>
      </c>
      <c r="O27" s="47">
        <v>8</v>
      </c>
      <c r="P27" s="47">
        <v>0</v>
      </c>
      <c r="Q27" s="47">
        <v>1</v>
      </c>
      <c r="R27" s="47">
        <v>0</v>
      </c>
      <c r="S27" s="46">
        <v>14</v>
      </c>
      <c r="T27" s="47">
        <v>0</v>
      </c>
      <c r="U27" s="47">
        <v>2</v>
      </c>
      <c r="V27" s="48">
        <f t="shared" si="3"/>
        <v>504</v>
      </c>
      <c r="W27" s="45">
        <v>233</v>
      </c>
      <c r="X27" s="46">
        <v>57</v>
      </c>
      <c r="Y27" s="46">
        <v>5</v>
      </c>
      <c r="Z27" s="46">
        <v>37</v>
      </c>
      <c r="AA27" s="46">
        <v>5</v>
      </c>
      <c r="AB27" s="46">
        <v>34</v>
      </c>
      <c r="AC27" s="46">
        <v>1</v>
      </c>
      <c r="AD27" s="46">
        <v>0</v>
      </c>
      <c r="AE27" s="46">
        <v>4</v>
      </c>
      <c r="AF27" s="47">
        <v>0</v>
      </c>
      <c r="AG27" s="47">
        <v>1</v>
      </c>
      <c r="AH27" s="47">
        <v>0</v>
      </c>
      <c r="AI27" s="47">
        <v>2</v>
      </c>
      <c r="AJ27" s="47">
        <v>13</v>
      </c>
      <c r="AK27" s="47">
        <v>0</v>
      </c>
      <c r="AL27" s="47">
        <v>1</v>
      </c>
      <c r="AM27" s="47">
        <v>0</v>
      </c>
      <c r="AN27" s="46">
        <v>5</v>
      </c>
      <c r="AO27" s="47">
        <v>0</v>
      </c>
      <c r="AP27" s="47">
        <v>2</v>
      </c>
      <c r="AQ27" s="48">
        <f>SUM(W27:AP27)</f>
        <v>400</v>
      </c>
    </row>
    <row r="28" spans="1:43" ht="18.899999999999999" customHeight="1" thickBot="1">
      <c r="A28" s="49" t="s">
        <v>55</v>
      </c>
      <c r="B28" s="45">
        <v>458</v>
      </c>
      <c r="C28" s="46">
        <v>60</v>
      </c>
      <c r="D28" s="46">
        <v>1</v>
      </c>
      <c r="E28" s="46">
        <v>35</v>
      </c>
      <c r="F28" s="46">
        <v>7</v>
      </c>
      <c r="G28" s="46">
        <v>42</v>
      </c>
      <c r="H28" s="46">
        <v>0</v>
      </c>
      <c r="I28" s="46">
        <v>0</v>
      </c>
      <c r="J28" s="46">
        <v>8</v>
      </c>
      <c r="K28" s="47">
        <v>0</v>
      </c>
      <c r="L28" s="47">
        <v>0</v>
      </c>
      <c r="M28" s="47">
        <v>0</v>
      </c>
      <c r="N28" s="47">
        <v>2</v>
      </c>
      <c r="O28" s="47">
        <v>12</v>
      </c>
      <c r="P28" s="47">
        <v>0</v>
      </c>
      <c r="Q28" s="47">
        <v>0</v>
      </c>
      <c r="R28" s="47">
        <v>0</v>
      </c>
      <c r="S28" s="46">
        <v>22</v>
      </c>
      <c r="T28" s="47">
        <v>0</v>
      </c>
      <c r="U28" s="47">
        <v>3</v>
      </c>
      <c r="V28" s="48">
        <f t="shared" si="3"/>
        <v>650</v>
      </c>
      <c r="W28" s="45">
        <v>285</v>
      </c>
      <c r="X28" s="46">
        <v>65</v>
      </c>
      <c r="Y28" s="46">
        <v>7</v>
      </c>
      <c r="Z28" s="46">
        <v>25</v>
      </c>
      <c r="AA28" s="46">
        <v>8</v>
      </c>
      <c r="AB28" s="46">
        <v>33</v>
      </c>
      <c r="AC28" s="46">
        <v>2</v>
      </c>
      <c r="AD28" s="46">
        <v>0</v>
      </c>
      <c r="AE28" s="46">
        <v>7</v>
      </c>
      <c r="AF28" s="47">
        <v>0</v>
      </c>
      <c r="AG28" s="47">
        <v>1</v>
      </c>
      <c r="AH28" s="47">
        <v>0</v>
      </c>
      <c r="AI28" s="47">
        <v>7</v>
      </c>
      <c r="AJ28" s="47">
        <v>17</v>
      </c>
      <c r="AK28" s="47">
        <v>1</v>
      </c>
      <c r="AL28" s="47">
        <v>1</v>
      </c>
      <c r="AM28" s="47">
        <v>0</v>
      </c>
      <c r="AN28" s="46">
        <v>7</v>
      </c>
      <c r="AO28" s="47">
        <v>0</v>
      </c>
      <c r="AP28" s="47">
        <v>4</v>
      </c>
      <c r="AQ28" s="48">
        <f>SUM(W28:AP28)</f>
        <v>470</v>
      </c>
    </row>
    <row r="29" spans="1:43" ht="18.899999999999999" customHeight="1" thickBot="1">
      <c r="A29" s="50" t="s">
        <v>47</v>
      </c>
      <c r="B29" s="51">
        <f t="shared" ref="B29:AQ29" si="4">SUM(B25:B28)</f>
        <v>1346</v>
      </c>
      <c r="C29" s="52">
        <f t="shared" si="4"/>
        <v>240</v>
      </c>
      <c r="D29" s="52">
        <f t="shared" si="4"/>
        <v>7</v>
      </c>
      <c r="E29" s="52">
        <f t="shared" si="4"/>
        <v>150</v>
      </c>
      <c r="F29" s="52">
        <f t="shared" si="4"/>
        <v>32</v>
      </c>
      <c r="G29" s="52">
        <f t="shared" si="4"/>
        <v>167</v>
      </c>
      <c r="H29" s="52">
        <f t="shared" si="4"/>
        <v>3</v>
      </c>
      <c r="I29" s="52">
        <f t="shared" si="4"/>
        <v>0</v>
      </c>
      <c r="J29" s="52">
        <f t="shared" si="4"/>
        <v>38</v>
      </c>
      <c r="K29" s="53">
        <f t="shared" si="4"/>
        <v>2</v>
      </c>
      <c r="L29" s="53">
        <f t="shared" si="4"/>
        <v>1</v>
      </c>
      <c r="M29" s="53">
        <f t="shared" si="4"/>
        <v>0</v>
      </c>
      <c r="N29" s="53">
        <f t="shared" si="4"/>
        <v>9</v>
      </c>
      <c r="O29" s="53">
        <f t="shared" si="4"/>
        <v>43</v>
      </c>
      <c r="P29" s="53">
        <f t="shared" si="4"/>
        <v>0</v>
      </c>
      <c r="Q29" s="53">
        <f t="shared" si="4"/>
        <v>2</v>
      </c>
      <c r="R29" s="53">
        <f t="shared" si="4"/>
        <v>0</v>
      </c>
      <c r="S29" s="52">
        <f t="shared" si="4"/>
        <v>59</v>
      </c>
      <c r="T29" s="53">
        <f t="shared" si="4"/>
        <v>0</v>
      </c>
      <c r="U29" s="53">
        <f t="shared" si="4"/>
        <v>16</v>
      </c>
      <c r="V29" s="54">
        <f t="shared" si="4"/>
        <v>2115</v>
      </c>
      <c r="W29" s="51">
        <f t="shared" si="4"/>
        <v>983</v>
      </c>
      <c r="X29" s="52">
        <f t="shared" si="4"/>
        <v>275</v>
      </c>
      <c r="Y29" s="52">
        <f t="shared" si="4"/>
        <v>20</v>
      </c>
      <c r="Z29" s="52">
        <f t="shared" si="4"/>
        <v>129</v>
      </c>
      <c r="AA29" s="52">
        <f t="shared" si="4"/>
        <v>30</v>
      </c>
      <c r="AB29" s="52">
        <f t="shared" si="4"/>
        <v>153</v>
      </c>
      <c r="AC29" s="52">
        <f t="shared" si="4"/>
        <v>6</v>
      </c>
      <c r="AD29" s="52">
        <f t="shared" si="4"/>
        <v>0</v>
      </c>
      <c r="AE29" s="52">
        <f t="shared" si="4"/>
        <v>31</v>
      </c>
      <c r="AF29" s="53">
        <f t="shared" si="4"/>
        <v>0</v>
      </c>
      <c r="AG29" s="53">
        <f t="shared" si="4"/>
        <v>3</v>
      </c>
      <c r="AH29" s="53">
        <f t="shared" si="4"/>
        <v>0</v>
      </c>
      <c r="AI29" s="53">
        <f t="shared" si="4"/>
        <v>14</v>
      </c>
      <c r="AJ29" s="53">
        <f t="shared" si="4"/>
        <v>57</v>
      </c>
      <c r="AK29" s="53">
        <f t="shared" si="4"/>
        <v>7</v>
      </c>
      <c r="AL29" s="53">
        <f t="shared" si="4"/>
        <v>8</v>
      </c>
      <c r="AM29" s="53">
        <f t="shared" si="4"/>
        <v>0</v>
      </c>
      <c r="AN29" s="52">
        <f t="shared" si="4"/>
        <v>22</v>
      </c>
      <c r="AO29" s="53">
        <f t="shared" si="4"/>
        <v>0</v>
      </c>
      <c r="AP29" s="53">
        <f t="shared" si="4"/>
        <v>15</v>
      </c>
      <c r="AQ29" s="54">
        <f t="shared" si="4"/>
        <v>1753</v>
      </c>
    </row>
    <row r="30" spans="1:43" ht="18.899999999999999" customHeight="1">
      <c r="A30" s="39" t="s">
        <v>56</v>
      </c>
      <c r="B30" s="40">
        <v>508</v>
      </c>
      <c r="C30" s="41">
        <v>48</v>
      </c>
      <c r="D30" s="41">
        <v>3</v>
      </c>
      <c r="E30" s="41">
        <v>54</v>
      </c>
      <c r="F30" s="41">
        <v>7</v>
      </c>
      <c r="G30" s="41">
        <v>49</v>
      </c>
      <c r="H30" s="41">
        <v>1</v>
      </c>
      <c r="I30" s="41">
        <v>0</v>
      </c>
      <c r="J30" s="41">
        <v>10</v>
      </c>
      <c r="K30" s="42">
        <v>0</v>
      </c>
      <c r="L30" s="42">
        <v>1</v>
      </c>
      <c r="M30" s="42">
        <v>0</v>
      </c>
      <c r="N30" s="42">
        <v>4</v>
      </c>
      <c r="O30" s="42">
        <v>15</v>
      </c>
      <c r="P30" s="42">
        <v>1</v>
      </c>
      <c r="Q30" s="42">
        <v>0</v>
      </c>
      <c r="R30" s="42">
        <v>0</v>
      </c>
      <c r="S30" s="41">
        <v>32</v>
      </c>
      <c r="T30" s="42">
        <v>0</v>
      </c>
      <c r="U30" s="42">
        <v>2</v>
      </c>
      <c r="V30" s="43">
        <f t="shared" ref="V30:V33" si="5">SUM(B30:U30)</f>
        <v>735</v>
      </c>
      <c r="W30" s="40">
        <v>309</v>
      </c>
      <c r="X30" s="41">
        <v>77</v>
      </c>
      <c r="Y30" s="41">
        <v>4</v>
      </c>
      <c r="Z30" s="41">
        <v>27</v>
      </c>
      <c r="AA30" s="41">
        <v>8</v>
      </c>
      <c r="AB30" s="41">
        <v>43</v>
      </c>
      <c r="AC30" s="41">
        <v>1</v>
      </c>
      <c r="AD30" s="41">
        <v>0</v>
      </c>
      <c r="AE30" s="41">
        <v>9</v>
      </c>
      <c r="AF30" s="42">
        <v>0</v>
      </c>
      <c r="AG30" s="42">
        <v>0</v>
      </c>
      <c r="AH30" s="42">
        <v>0</v>
      </c>
      <c r="AI30" s="42">
        <v>3</v>
      </c>
      <c r="AJ30" s="42">
        <v>5</v>
      </c>
      <c r="AK30" s="42">
        <v>1</v>
      </c>
      <c r="AL30" s="42">
        <v>1</v>
      </c>
      <c r="AM30" s="42">
        <v>0</v>
      </c>
      <c r="AN30" s="41">
        <v>9</v>
      </c>
      <c r="AO30" s="42">
        <v>0</v>
      </c>
      <c r="AP30" s="42">
        <v>7</v>
      </c>
      <c r="AQ30" s="43">
        <f>SUM(W30:AP30)</f>
        <v>504</v>
      </c>
    </row>
    <row r="31" spans="1:43" ht="18.899999999999999" customHeight="1">
      <c r="A31" s="44" t="s">
        <v>57</v>
      </c>
      <c r="B31" s="45">
        <v>525</v>
      </c>
      <c r="C31" s="46">
        <v>52</v>
      </c>
      <c r="D31" s="46">
        <v>4</v>
      </c>
      <c r="E31" s="46">
        <v>43</v>
      </c>
      <c r="F31" s="46">
        <v>12</v>
      </c>
      <c r="G31" s="46">
        <v>45</v>
      </c>
      <c r="H31" s="46">
        <v>2</v>
      </c>
      <c r="I31" s="46">
        <v>0</v>
      </c>
      <c r="J31" s="46">
        <v>12</v>
      </c>
      <c r="K31" s="47">
        <v>0</v>
      </c>
      <c r="L31" s="47">
        <v>0</v>
      </c>
      <c r="M31" s="47">
        <v>0</v>
      </c>
      <c r="N31" s="47">
        <v>5</v>
      </c>
      <c r="O31" s="47">
        <v>12</v>
      </c>
      <c r="P31" s="47">
        <v>0</v>
      </c>
      <c r="Q31" s="47">
        <v>1</v>
      </c>
      <c r="R31" s="47">
        <v>0</v>
      </c>
      <c r="S31" s="46">
        <v>25</v>
      </c>
      <c r="T31" s="47">
        <v>0</v>
      </c>
      <c r="U31" s="47">
        <v>4</v>
      </c>
      <c r="V31" s="48">
        <f t="shared" si="5"/>
        <v>742</v>
      </c>
      <c r="W31" s="45">
        <v>349</v>
      </c>
      <c r="X31" s="46">
        <v>81</v>
      </c>
      <c r="Y31" s="46">
        <v>9</v>
      </c>
      <c r="Z31" s="46">
        <v>35</v>
      </c>
      <c r="AA31" s="46">
        <v>11</v>
      </c>
      <c r="AB31" s="46">
        <v>41</v>
      </c>
      <c r="AC31" s="46">
        <v>1</v>
      </c>
      <c r="AD31" s="46">
        <v>0</v>
      </c>
      <c r="AE31" s="46">
        <v>4</v>
      </c>
      <c r="AF31" s="47">
        <v>0</v>
      </c>
      <c r="AG31" s="47">
        <v>0</v>
      </c>
      <c r="AH31" s="47">
        <v>0</v>
      </c>
      <c r="AI31" s="47">
        <v>7</v>
      </c>
      <c r="AJ31" s="47">
        <v>12</v>
      </c>
      <c r="AK31" s="47">
        <v>1</v>
      </c>
      <c r="AL31" s="47">
        <v>1</v>
      </c>
      <c r="AM31" s="47">
        <v>0</v>
      </c>
      <c r="AN31" s="46">
        <v>4</v>
      </c>
      <c r="AO31" s="47">
        <v>0</v>
      </c>
      <c r="AP31" s="47">
        <v>5</v>
      </c>
      <c r="AQ31" s="48">
        <f>SUM(W31:AP31)</f>
        <v>561</v>
      </c>
    </row>
    <row r="32" spans="1:43" ht="18.899999999999999" customHeight="1">
      <c r="A32" s="44" t="s">
        <v>58</v>
      </c>
      <c r="B32" s="45">
        <v>587</v>
      </c>
      <c r="C32" s="46">
        <v>78</v>
      </c>
      <c r="D32" s="46">
        <v>3</v>
      </c>
      <c r="E32" s="46">
        <v>52</v>
      </c>
      <c r="F32" s="46">
        <v>12</v>
      </c>
      <c r="G32" s="46">
        <v>63</v>
      </c>
      <c r="H32" s="46">
        <v>1</v>
      </c>
      <c r="I32" s="46">
        <v>0</v>
      </c>
      <c r="J32" s="46">
        <v>10</v>
      </c>
      <c r="K32" s="47">
        <v>0</v>
      </c>
      <c r="L32" s="47">
        <v>0</v>
      </c>
      <c r="M32" s="47">
        <v>0</v>
      </c>
      <c r="N32" s="47">
        <v>7</v>
      </c>
      <c r="O32" s="47">
        <v>11</v>
      </c>
      <c r="P32" s="47">
        <v>0</v>
      </c>
      <c r="Q32" s="47">
        <v>2</v>
      </c>
      <c r="R32" s="47">
        <v>0</v>
      </c>
      <c r="S32" s="46">
        <v>17</v>
      </c>
      <c r="T32" s="47">
        <v>0</v>
      </c>
      <c r="U32" s="47">
        <v>3</v>
      </c>
      <c r="V32" s="48">
        <f t="shared" si="5"/>
        <v>846</v>
      </c>
      <c r="W32" s="45">
        <v>393</v>
      </c>
      <c r="X32" s="46">
        <v>83</v>
      </c>
      <c r="Y32" s="46">
        <v>7</v>
      </c>
      <c r="Z32" s="46">
        <v>44</v>
      </c>
      <c r="AA32" s="46">
        <v>8</v>
      </c>
      <c r="AB32" s="46">
        <v>35</v>
      </c>
      <c r="AC32" s="46">
        <v>0</v>
      </c>
      <c r="AD32" s="46">
        <v>0</v>
      </c>
      <c r="AE32" s="46">
        <v>6</v>
      </c>
      <c r="AF32" s="47">
        <v>0</v>
      </c>
      <c r="AG32" s="47">
        <v>0</v>
      </c>
      <c r="AH32" s="47">
        <v>0</v>
      </c>
      <c r="AI32" s="47">
        <v>8</v>
      </c>
      <c r="AJ32" s="47">
        <v>15</v>
      </c>
      <c r="AK32" s="47">
        <v>0</v>
      </c>
      <c r="AL32" s="47">
        <v>0</v>
      </c>
      <c r="AM32" s="47">
        <v>0</v>
      </c>
      <c r="AN32" s="46">
        <v>7</v>
      </c>
      <c r="AO32" s="47">
        <v>0</v>
      </c>
      <c r="AP32" s="47">
        <v>3</v>
      </c>
      <c r="AQ32" s="48">
        <f>SUM(W32:AP32)</f>
        <v>609</v>
      </c>
    </row>
    <row r="33" spans="1:43" ht="18.899999999999999" customHeight="1" thickBot="1">
      <c r="A33" s="49" t="s">
        <v>59</v>
      </c>
      <c r="B33" s="45">
        <v>618</v>
      </c>
      <c r="C33" s="46">
        <v>83</v>
      </c>
      <c r="D33" s="46">
        <v>5</v>
      </c>
      <c r="E33" s="46">
        <v>52</v>
      </c>
      <c r="F33" s="46">
        <v>13</v>
      </c>
      <c r="G33" s="46">
        <v>64</v>
      </c>
      <c r="H33" s="46">
        <v>1</v>
      </c>
      <c r="I33" s="46">
        <v>0</v>
      </c>
      <c r="J33" s="46">
        <v>9</v>
      </c>
      <c r="K33" s="47">
        <v>0</v>
      </c>
      <c r="L33" s="47">
        <v>0</v>
      </c>
      <c r="M33" s="47">
        <v>0</v>
      </c>
      <c r="N33" s="47">
        <v>12</v>
      </c>
      <c r="O33" s="47">
        <v>10</v>
      </c>
      <c r="P33" s="47">
        <v>0</v>
      </c>
      <c r="Q33" s="47">
        <v>1</v>
      </c>
      <c r="R33" s="47">
        <v>0</v>
      </c>
      <c r="S33" s="46">
        <v>22</v>
      </c>
      <c r="T33" s="47">
        <v>0</v>
      </c>
      <c r="U33" s="47">
        <v>6</v>
      </c>
      <c r="V33" s="48">
        <f t="shared" si="5"/>
        <v>896</v>
      </c>
      <c r="W33" s="45">
        <v>402</v>
      </c>
      <c r="X33" s="46">
        <v>91</v>
      </c>
      <c r="Y33" s="46">
        <v>4</v>
      </c>
      <c r="Z33" s="46">
        <v>31</v>
      </c>
      <c r="AA33" s="46">
        <v>12</v>
      </c>
      <c r="AB33" s="46">
        <v>52</v>
      </c>
      <c r="AC33" s="46">
        <v>0</v>
      </c>
      <c r="AD33" s="46">
        <v>0</v>
      </c>
      <c r="AE33" s="46">
        <v>9</v>
      </c>
      <c r="AF33" s="47">
        <v>0</v>
      </c>
      <c r="AG33" s="47">
        <v>1</v>
      </c>
      <c r="AH33" s="47">
        <v>0</v>
      </c>
      <c r="AI33" s="47">
        <v>4</v>
      </c>
      <c r="AJ33" s="47">
        <v>19</v>
      </c>
      <c r="AK33" s="47">
        <v>0</v>
      </c>
      <c r="AL33" s="47">
        <v>1</v>
      </c>
      <c r="AM33" s="47">
        <v>0</v>
      </c>
      <c r="AN33" s="46">
        <v>4</v>
      </c>
      <c r="AO33" s="47">
        <v>0</v>
      </c>
      <c r="AP33" s="47">
        <v>7</v>
      </c>
      <c r="AQ33" s="48">
        <f>SUM(W33:AP33)</f>
        <v>637</v>
      </c>
    </row>
    <row r="34" spans="1:43" ht="18.899999999999999" customHeight="1" thickBot="1">
      <c r="A34" s="50" t="s">
        <v>47</v>
      </c>
      <c r="B34" s="51">
        <f t="shared" ref="B34:AQ34" si="6">SUM(B30:B33)</f>
        <v>2238</v>
      </c>
      <c r="C34" s="52">
        <f t="shared" si="6"/>
        <v>261</v>
      </c>
      <c r="D34" s="52">
        <f t="shared" si="6"/>
        <v>15</v>
      </c>
      <c r="E34" s="52">
        <f t="shared" si="6"/>
        <v>201</v>
      </c>
      <c r="F34" s="52">
        <f t="shared" si="6"/>
        <v>44</v>
      </c>
      <c r="G34" s="52">
        <f t="shared" si="6"/>
        <v>221</v>
      </c>
      <c r="H34" s="52">
        <f t="shared" si="6"/>
        <v>5</v>
      </c>
      <c r="I34" s="52">
        <f t="shared" si="6"/>
        <v>0</v>
      </c>
      <c r="J34" s="52">
        <f t="shared" si="6"/>
        <v>41</v>
      </c>
      <c r="K34" s="53">
        <f t="shared" si="6"/>
        <v>0</v>
      </c>
      <c r="L34" s="53">
        <f t="shared" si="6"/>
        <v>1</v>
      </c>
      <c r="M34" s="53">
        <f t="shared" si="6"/>
        <v>0</v>
      </c>
      <c r="N34" s="53">
        <f t="shared" si="6"/>
        <v>28</v>
      </c>
      <c r="O34" s="53">
        <f t="shared" si="6"/>
        <v>48</v>
      </c>
      <c r="P34" s="53">
        <f t="shared" si="6"/>
        <v>1</v>
      </c>
      <c r="Q34" s="53">
        <f t="shared" si="6"/>
        <v>4</v>
      </c>
      <c r="R34" s="53">
        <f t="shared" si="6"/>
        <v>0</v>
      </c>
      <c r="S34" s="52">
        <f t="shared" si="6"/>
        <v>96</v>
      </c>
      <c r="T34" s="53">
        <f t="shared" si="6"/>
        <v>0</v>
      </c>
      <c r="U34" s="53">
        <f t="shared" si="6"/>
        <v>15</v>
      </c>
      <c r="V34" s="54">
        <f t="shared" si="6"/>
        <v>3219</v>
      </c>
      <c r="W34" s="51">
        <f t="shared" si="6"/>
        <v>1453</v>
      </c>
      <c r="X34" s="52">
        <f t="shared" si="6"/>
        <v>332</v>
      </c>
      <c r="Y34" s="52">
        <f t="shared" si="6"/>
        <v>24</v>
      </c>
      <c r="Z34" s="52">
        <f t="shared" si="6"/>
        <v>137</v>
      </c>
      <c r="AA34" s="52">
        <f t="shared" si="6"/>
        <v>39</v>
      </c>
      <c r="AB34" s="52">
        <f t="shared" si="6"/>
        <v>171</v>
      </c>
      <c r="AC34" s="52">
        <f t="shared" si="6"/>
        <v>2</v>
      </c>
      <c r="AD34" s="52">
        <f t="shared" si="6"/>
        <v>0</v>
      </c>
      <c r="AE34" s="52">
        <f t="shared" si="6"/>
        <v>28</v>
      </c>
      <c r="AF34" s="53">
        <f t="shared" si="6"/>
        <v>0</v>
      </c>
      <c r="AG34" s="53">
        <f t="shared" si="6"/>
        <v>1</v>
      </c>
      <c r="AH34" s="53">
        <f t="shared" si="6"/>
        <v>0</v>
      </c>
      <c r="AI34" s="53">
        <f t="shared" si="6"/>
        <v>22</v>
      </c>
      <c r="AJ34" s="53">
        <f t="shared" si="6"/>
        <v>51</v>
      </c>
      <c r="AK34" s="53">
        <f t="shared" si="6"/>
        <v>2</v>
      </c>
      <c r="AL34" s="53">
        <f t="shared" si="6"/>
        <v>3</v>
      </c>
      <c r="AM34" s="53">
        <f t="shared" si="6"/>
        <v>0</v>
      </c>
      <c r="AN34" s="52">
        <f t="shared" si="6"/>
        <v>24</v>
      </c>
      <c r="AO34" s="53">
        <f t="shared" si="6"/>
        <v>0</v>
      </c>
      <c r="AP34" s="53">
        <f t="shared" si="6"/>
        <v>22</v>
      </c>
      <c r="AQ34" s="54">
        <f t="shared" si="6"/>
        <v>2311</v>
      </c>
    </row>
    <row r="35" spans="1:43" ht="18.899999999999999" customHeight="1">
      <c r="A35" s="39" t="s">
        <v>60</v>
      </c>
      <c r="B35" s="40">
        <v>685</v>
      </c>
      <c r="C35" s="41">
        <v>92</v>
      </c>
      <c r="D35" s="41">
        <v>6</v>
      </c>
      <c r="E35" s="41">
        <v>46</v>
      </c>
      <c r="F35" s="41">
        <v>13</v>
      </c>
      <c r="G35" s="41">
        <v>58</v>
      </c>
      <c r="H35" s="41">
        <v>0</v>
      </c>
      <c r="I35" s="41">
        <v>0</v>
      </c>
      <c r="J35" s="41">
        <v>7</v>
      </c>
      <c r="K35" s="42">
        <v>0</v>
      </c>
      <c r="L35" s="42">
        <v>0</v>
      </c>
      <c r="M35" s="42">
        <v>0</v>
      </c>
      <c r="N35" s="42">
        <v>9</v>
      </c>
      <c r="O35" s="42">
        <v>9</v>
      </c>
      <c r="P35" s="42">
        <v>1</v>
      </c>
      <c r="Q35" s="42">
        <v>0</v>
      </c>
      <c r="R35" s="42">
        <v>0</v>
      </c>
      <c r="S35" s="41">
        <v>27</v>
      </c>
      <c r="T35" s="42">
        <v>0</v>
      </c>
      <c r="U35" s="42">
        <v>6</v>
      </c>
      <c r="V35" s="43">
        <f t="shared" ref="V35:V38" si="7">SUM(B35:U35)</f>
        <v>959</v>
      </c>
      <c r="W35" s="40">
        <v>472</v>
      </c>
      <c r="X35" s="41">
        <v>86</v>
      </c>
      <c r="Y35" s="41">
        <v>2</v>
      </c>
      <c r="Z35" s="41">
        <v>37</v>
      </c>
      <c r="AA35" s="41">
        <v>10</v>
      </c>
      <c r="AB35" s="41">
        <v>55</v>
      </c>
      <c r="AC35" s="41">
        <v>0</v>
      </c>
      <c r="AD35" s="41">
        <v>0</v>
      </c>
      <c r="AE35" s="41">
        <v>6</v>
      </c>
      <c r="AF35" s="42">
        <v>0</v>
      </c>
      <c r="AG35" s="42">
        <v>1</v>
      </c>
      <c r="AH35" s="42">
        <v>0</v>
      </c>
      <c r="AI35" s="42">
        <v>9</v>
      </c>
      <c r="AJ35" s="42">
        <v>12</v>
      </c>
      <c r="AK35" s="42">
        <v>0</v>
      </c>
      <c r="AL35" s="42">
        <v>1</v>
      </c>
      <c r="AM35" s="42">
        <v>0</v>
      </c>
      <c r="AN35" s="41">
        <v>9</v>
      </c>
      <c r="AO35" s="42">
        <v>0</v>
      </c>
      <c r="AP35" s="42">
        <v>3</v>
      </c>
      <c r="AQ35" s="43">
        <f>SUM(W35:AP35)</f>
        <v>703</v>
      </c>
    </row>
    <row r="36" spans="1:43" ht="18.899999999999999" customHeight="1">
      <c r="A36" s="44" t="s">
        <v>61</v>
      </c>
      <c r="B36" s="45">
        <v>695</v>
      </c>
      <c r="C36" s="46">
        <v>102</v>
      </c>
      <c r="D36" s="46">
        <v>5</v>
      </c>
      <c r="E36" s="46">
        <v>50</v>
      </c>
      <c r="F36" s="46">
        <v>13</v>
      </c>
      <c r="G36" s="46">
        <v>68</v>
      </c>
      <c r="H36" s="46">
        <v>0</v>
      </c>
      <c r="I36" s="46">
        <v>1</v>
      </c>
      <c r="J36" s="46">
        <v>4</v>
      </c>
      <c r="K36" s="47">
        <v>0</v>
      </c>
      <c r="L36" s="47">
        <v>0</v>
      </c>
      <c r="M36" s="47">
        <v>0</v>
      </c>
      <c r="N36" s="47">
        <v>12</v>
      </c>
      <c r="O36" s="47">
        <v>6</v>
      </c>
      <c r="P36" s="47">
        <v>1</v>
      </c>
      <c r="Q36" s="47">
        <v>1</v>
      </c>
      <c r="R36" s="47">
        <v>0</v>
      </c>
      <c r="S36" s="46">
        <v>22</v>
      </c>
      <c r="T36" s="47">
        <v>0</v>
      </c>
      <c r="U36" s="47">
        <v>9</v>
      </c>
      <c r="V36" s="48">
        <f t="shared" si="7"/>
        <v>989</v>
      </c>
      <c r="W36" s="45">
        <v>503</v>
      </c>
      <c r="X36" s="46">
        <v>91</v>
      </c>
      <c r="Y36" s="46">
        <v>4</v>
      </c>
      <c r="Z36" s="46">
        <v>25</v>
      </c>
      <c r="AA36" s="46">
        <v>14</v>
      </c>
      <c r="AB36" s="46">
        <v>48</v>
      </c>
      <c r="AC36" s="46">
        <v>1</v>
      </c>
      <c r="AD36" s="46">
        <v>0</v>
      </c>
      <c r="AE36" s="46">
        <v>7</v>
      </c>
      <c r="AF36" s="47">
        <v>0</v>
      </c>
      <c r="AG36" s="47">
        <v>1</v>
      </c>
      <c r="AH36" s="47">
        <v>0</v>
      </c>
      <c r="AI36" s="47">
        <v>9</v>
      </c>
      <c r="AJ36" s="47">
        <v>15</v>
      </c>
      <c r="AK36" s="47">
        <v>1</v>
      </c>
      <c r="AL36" s="47">
        <v>1</v>
      </c>
      <c r="AM36" s="47">
        <v>0</v>
      </c>
      <c r="AN36" s="46">
        <v>12</v>
      </c>
      <c r="AO36" s="47">
        <v>0</v>
      </c>
      <c r="AP36" s="47">
        <v>7</v>
      </c>
      <c r="AQ36" s="48">
        <f>SUM(W36:AP36)</f>
        <v>739</v>
      </c>
    </row>
    <row r="37" spans="1:43" ht="18.899999999999999" customHeight="1">
      <c r="A37" s="44" t="s">
        <v>62</v>
      </c>
      <c r="B37" s="45">
        <v>714</v>
      </c>
      <c r="C37" s="46">
        <v>106</v>
      </c>
      <c r="D37" s="46">
        <v>2</v>
      </c>
      <c r="E37" s="46">
        <v>57</v>
      </c>
      <c r="F37" s="46">
        <v>18</v>
      </c>
      <c r="G37" s="46">
        <v>64</v>
      </c>
      <c r="H37" s="46">
        <v>0</v>
      </c>
      <c r="I37" s="46">
        <v>0</v>
      </c>
      <c r="J37" s="46">
        <v>10</v>
      </c>
      <c r="K37" s="47">
        <v>0</v>
      </c>
      <c r="L37" s="47">
        <v>0</v>
      </c>
      <c r="M37" s="47">
        <v>0</v>
      </c>
      <c r="N37" s="47">
        <v>10</v>
      </c>
      <c r="O37" s="47">
        <v>8</v>
      </c>
      <c r="P37" s="47">
        <v>3</v>
      </c>
      <c r="Q37" s="47">
        <v>1</v>
      </c>
      <c r="R37" s="47">
        <v>0</v>
      </c>
      <c r="S37" s="46">
        <v>19</v>
      </c>
      <c r="T37" s="47">
        <v>0</v>
      </c>
      <c r="U37" s="47">
        <v>13</v>
      </c>
      <c r="V37" s="48">
        <f t="shared" si="7"/>
        <v>1025</v>
      </c>
      <c r="W37" s="45">
        <v>521</v>
      </c>
      <c r="X37" s="46">
        <v>85</v>
      </c>
      <c r="Y37" s="46">
        <v>3</v>
      </c>
      <c r="Z37" s="46">
        <v>46</v>
      </c>
      <c r="AA37" s="46">
        <v>11</v>
      </c>
      <c r="AB37" s="46">
        <v>65</v>
      </c>
      <c r="AC37" s="46">
        <v>1</v>
      </c>
      <c r="AD37" s="46">
        <v>0</v>
      </c>
      <c r="AE37" s="46">
        <v>6</v>
      </c>
      <c r="AF37" s="47">
        <v>0</v>
      </c>
      <c r="AG37" s="47">
        <v>0</v>
      </c>
      <c r="AH37" s="47">
        <v>0</v>
      </c>
      <c r="AI37" s="47">
        <v>5</v>
      </c>
      <c r="AJ37" s="47">
        <v>10</v>
      </c>
      <c r="AK37" s="47">
        <v>4</v>
      </c>
      <c r="AL37" s="47">
        <v>0</v>
      </c>
      <c r="AM37" s="47">
        <v>0</v>
      </c>
      <c r="AN37" s="46">
        <v>11</v>
      </c>
      <c r="AO37" s="47">
        <v>0</v>
      </c>
      <c r="AP37" s="47">
        <v>5</v>
      </c>
      <c r="AQ37" s="48">
        <f>SUM(W37:AP37)</f>
        <v>773</v>
      </c>
    </row>
    <row r="38" spans="1:43" ht="18.899999999999999" customHeight="1" thickBot="1">
      <c r="A38" s="49" t="s">
        <v>63</v>
      </c>
      <c r="B38" s="45">
        <v>705</v>
      </c>
      <c r="C38" s="46">
        <v>103</v>
      </c>
      <c r="D38" s="46">
        <v>4</v>
      </c>
      <c r="E38" s="46">
        <v>43</v>
      </c>
      <c r="F38" s="46">
        <v>16</v>
      </c>
      <c r="G38" s="46">
        <v>63</v>
      </c>
      <c r="H38" s="46">
        <v>0</v>
      </c>
      <c r="I38" s="46">
        <v>0</v>
      </c>
      <c r="J38" s="46">
        <v>12</v>
      </c>
      <c r="K38" s="47">
        <v>0</v>
      </c>
      <c r="L38" s="47">
        <v>0</v>
      </c>
      <c r="M38" s="47">
        <v>0</v>
      </c>
      <c r="N38" s="47">
        <v>13</v>
      </c>
      <c r="O38" s="47">
        <v>10</v>
      </c>
      <c r="P38" s="47">
        <v>2</v>
      </c>
      <c r="Q38" s="47">
        <v>1</v>
      </c>
      <c r="R38" s="47">
        <v>0</v>
      </c>
      <c r="S38" s="46">
        <v>25</v>
      </c>
      <c r="T38" s="47">
        <v>0</v>
      </c>
      <c r="U38" s="47">
        <v>10</v>
      </c>
      <c r="V38" s="48">
        <f t="shared" si="7"/>
        <v>1007</v>
      </c>
      <c r="W38" s="45">
        <v>503</v>
      </c>
      <c r="X38" s="46">
        <v>81</v>
      </c>
      <c r="Y38" s="46">
        <v>4</v>
      </c>
      <c r="Z38" s="46">
        <v>30</v>
      </c>
      <c r="AA38" s="46">
        <v>4</v>
      </c>
      <c r="AB38" s="46">
        <v>56</v>
      </c>
      <c r="AC38" s="46">
        <v>1</v>
      </c>
      <c r="AD38" s="46">
        <v>0</v>
      </c>
      <c r="AE38" s="46">
        <v>9</v>
      </c>
      <c r="AF38" s="47">
        <v>0</v>
      </c>
      <c r="AG38" s="47">
        <v>0</v>
      </c>
      <c r="AH38" s="47">
        <v>0</v>
      </c>
      <c r="AI38" s="47">
        <v>9</v>
      </c>
      <c r="AJ38" s="47">
        <v>9</v>
      </c>
      <c r="AK38" s="47">
        <v>2</v>
      </c>
      <c r="AL38" s="47">
        <v>1</v>
      </c>
      <c r="AM38" s="47">
        <v>1</v>
      </c>
      <c r="AN38" s="46">
        <v>14</v>
      </c>
      <c r="AO38" s="47">
        <v>0</v>
      </c>
      <c r="AP38" s="47">
        <v>9</v>
      </c>
      <c r="AQ38" s="48">
        <f>SUM(W38:AP38)</f>
        <v>733</v>
      </c>
    </row>
    <row r="39" spans="1:43" ht="18.899999999999999" customHeight="1" thickBot="1">
      <c r="A39" s="50" t="s">
        <v>47</v>
      </c>
      <c r="B39" s="51">
        <f t="shared" ref="B39:AQ39" si="8">SUM(B35:B38)</f>
        <v>2799</v>
      </c>
      <c r="C39" s="52">
        <f t="shared" si="8"/>
        <v>403</v>
      </c>
      <c r="D39" s="52">
        <f t="shared" si="8"/>
        <v>17</v>
      </c>
      <c r="E39" s="52">
        <f t="shared" si="8"/>
        <v>196</v>
      </c>
      <c r="F39" s="52">
        <f t="shared" si="8"/>
        <v>60</v>
      </c>
      <c r="G39" s="52">
        <f t="shared" si="8"/>
        <v>253</v>
      </c>
      <c r="H39" s="52">
        <f t="shared" si="8"/>
        <v>0</v>
      </c>
      <c r="I39" s="52">
        <f t="shared" si="8"/>
        <v>1</v>
      </c>
      <c r="J39" s="52">
        <f t="shared" si="8"/>
        <v>33</v>
      </c>
      <c r="K39" s="53">
        <f t="shared" si="8"/>
        <v>0</v>
      </c>
      <c r="L39" s="53">
        <f t="shared" si="8"/>
        <v>0</v>
      </c>
      <c r="M39" s="53">
        <f t="shared" si="8"/>
        <v>0</v>
      </c>
      <c r="N39" s="53">
        <f t="shared" si="8"/>
        <v>44</v>
      </c>
      <c r="O39" s="53">
        <f t="shared" si="8"/>
        <v>33</v>
      </c>
      <c r="P39" s="53">
        <f t="shared" si="8"/>
        <v>7</v>
      </c>
      <c r="Q39" s="53">
        <f t="shared" si="8"/>
        <v>3</v>
      </c>
      <c r="R39" s="53">
        <f t="shared" si="8"/>
        <v>0</v>
      </c>
      <c r="S39" s="52">
        <f t="shared" si="8"/>
        <v>93</v>
      </c>
      <c r="T39" s="53">
        <f t="shared" si="8"/>
        <v>0</v>
      </c>
      <c r="U39" s="53">
        <f t="shared" si="8"/>
        <v>38</v>
      </c>
      <c r="V39" s="54">
        <f t="shared" si="8"/>
        <v>3980</v>
      </c>
      <c r="W39" s="51">
        <f t="shared" si="8"/>
        <v>1999</v>
      </c>
      <c r="X39" s="52">
        <f t="shared" si="8"/>
        <v>343</v>
      </c>
      <c r="Y39" s="52">
        <f t="shared" si="8"/>
        <v>13</v>
      </c>
      <c r="Z39" s="52">
        <f t="shared" si="8"/>
        <v>138</v>
      </c>
      <c r="AA39" s="52">
        <f t="shared" si="8"/>
        <v>39</v>
      </c>
      <c r="AB39" s="52">
        <f t="shared" si="8"/>
        <v>224</v>
      </c>
      <c r="AC39" s="52">
        <f t="shared" si="8"/>
        <v>3</v>
      </c>
      <c r="AD39" s="52">
        <f t="shared" si="8"/>
        <v>0</v>
      </c>
      <c r="AE39" s="52">
        <f t="shared" si="8"/>
        <v>28</v>
      </c>
      <c r="AF39" s="53">
        <f t="shared" si="8"/>
        <v>0</v>
      </c>
      <c r="AG39" s="53">
        <f t="shared" si="8"/>
        <v>2</v>
      </c>
      <c r="AH39" s="53">
        <f t="shared" si="8"/>
        <v>0</v>
      </c>
      <c r="AI39" s="53">
        <f t="shared" si="8"/>
        <v>32</v>
      </c>
      <c r="AJ39" s="53">
        <f t="shared" si="8"/>
        <v>46</v>
      </c>
      <c r="AK39" s="53">
        <f t="shared" si="8"/>
        <v>7</v>
      </c>
      <c r="AL39" s="53">
        <f t="shared" si="8"/>
        <v>3</v>
      </c>
      <c r="AM39" s="53">
        <f t="shared" si="8"/>
        <v>1</v>
      </c>
      <c r="AN39" s="52">
        <f t="shared" si="8"/>
        <v>46</v>
      </c>
      <c r="AO39" s="53">
        <f t="shared" si="8"/>
        <v>0</v>
      </c>
      <c r="AP39" s="53">
        <f t="shared" si="8"/>
        <v>24</v>
      </c>
      <c r="AQ39" s="54">
        <f t="shared" si="8"/>
        <v>2948</v>
      </c>
    </row>
    <row r="40" spans="1:43" ht="18.899999999999999" customHeight="1">
      <c r="A40" s="39" t="s">
        <v>64</v>
      </c>
      <c r="B40" s="40">
        <v>707</v>
      </c>
      <c r="C40" s="41">
        <v>100</v>
      </c>
      <c r="D40" s="41">
        <v>3</v>
      </c>
      <c r="E40" s="41">
        <v>44</v>
      </c>
      <c r="F40" s="41">
        <v>12</v>
      </c>
      <c r="G40" s="41">
        <v>58</v>
      </c>
      <c r="H40" s="41">
        <v>3</v>
      </c>
      <c r="I40" s="41">
        <v>0</v>
      </c>
      <c r="J40" s="41">
        <v>6</v>
      </c>
      <c r="K40" s="42">
        <v>0</v>
      </c>
      <c r="L40" s="42">
        <v>0</v>
      </c>
      <c r="M40" s="42">
        <v>0</v>
      </c>
      <c r="N40" s="42">
        <v>9</v>
      </c>
      <c r="O40" s="42">
        <v>8</v>
      </c>
      <c r="P40" s="42">
        <v>1</v>
      </c>
      <c r="Q40" s="42">
        <v>1</v>
      </c>
      <c r="R40" s="42">
        <v>0</v>
      </c>
      <c r="S40" s="41">
        <v>19</v>
      </c>
      <c r="T40" s="42">
        <v>0</v>
      </c>
      <c r="U40" s="42">
        <v>5</v>
      </c>
      <c r="V40" s="43">
        <f t="shared" ref="V40:V43" si="9">SUM(B40:U40)</f>
        <v>976</v>
      </c>
      <c r="W40" s="40">
        <v>520</v>
      </c>
      <c r="X40" s="41">
        <v>76</v>
      </c>
      <c r="Y40" s="41">
        <v>5</v>
      </c>
      <c r="Z40" s="41">
        <v>39</v>
      </c>
      <c r="AA40" s="41">
        <v>12</v>
      </c>
      <c r="AB40" s="41">
        <v>64</v>
      </c>
      <c r="AC40" s="41">
        <v>2</v>
      </c>
      <c r="AD40" s="41">
        <v>0</v>
      </c>
      <c r="AE40" s="41">
        <v>6</v>
      </c>
      <c r="AF40" s="42">
        <v>0</v>
      </c>
      <c r="AG40" s="42">
        <v>0</v>
      </c>
      <c r="AH40" s="42">
        <v>0</v>
      </c>
      <c r="AI40" s="42">
        <v>10</v>
      </c>
      <c r="AJ40" s="42">
        <v>6</v>
      </c>
      <c r="AK40" s="42">
        <v>7</v>
      </c>
      <c r="AL40" s="42">
        <v>1</v>
      </c>
      <c r="AM40" s="42">
        <v>1</v>
      </c>
      <c r="AN40" s="41">
        <v>12</v>
      </c>
      <c r="AO40" s="42">
        <v>0</v>
      </c>
      <c r="AP40" s="42">
        <v>8</v>
      </c>
      <c r="AQ40" s="43">
        <f>SUM(W40:AP40)</f>
        <v>769</v>
      </c>
    </row>
    <row r="41" spans="1:43" ht="18.899999999999999" customHeight="1">
      <c r="A41" s="44" t="s">
        <v>65</v>
      </c>
      <c r="B41" s="45">
        <v>710</v>
      </c>
      <c r="C41" s="46">
        <v>101</v>
      </c>
      <c r="D41" s="46">
        <v>2</v>
      </c>
      <c r="E41" s="46">
        <v>32</v>
      </c>
      <c r="F41" s="46">
        <v>11</v>
      </c>
      <c r="G41" s="46">
        <v>64</v>
      </c>
      <c r="H41" s="46">
        <v>0</v>
      </c>
      <c r="I41" s="46">
        <v>0</v>
      </c>
      <c r="J41" s="46">
        <v>8</v>
      </c>
      <c r="K41" s="47">
        <v>0</v>
      </c>
      <c r="L41" s="47">
        <v>0</v>
      </c>
      <c r="M41" s="47">
        <v>0</v>
      </c>
      <c r="N41" s="47">
        <v>12</v>
      </c>
      <c r="O41" s="47">
        <v>9</v>
      </c>
      <c r="P41" s="47">
        <v>0</v>
      </c>
      <c r="Q41" s="47">
        <v>1</v>
      </c>
      <c r="R41" s="47">
        <v>0</v>
      </c>
      <c r="S41" s="46">
        <v>21</v>
      </c>
      <c r="T41" s="47">
        <v>0</v>
      </c>
      <c r="U41" s="47">
        <v>12</v>
      </c>
      <c r="V41" s="48">
        <f t="shared" si="9"/>
        <v>983</v>
      </c>
      <c r="W41" s="45">
        <v>535</v>
      </c>
      <c r="X41" s="46">
        <v>81</v>
      </c>
      <c r="Y41" s="46">
        <v>7</v>
      </c>
      <c r="Z41" s="46">
        <v>34</v>
      </c>
      <c r="AA41" s="46">
        <v>14</v>
      </c>
      <c r="AB41" s="46">
        <v>62</v>
      </c>
      <c r="AC41" s="46">
        <v>1</v>
      </c>
      <c r="AD41" s="46">
        <v>0</v>
      </c>
      <c r="AE41" s="46">
        <v>15</v>
      </c>
      <c r="AF41" s="47">
        <v>0</v>
      </c>
      <c r="AG41" s="47">
        <v>0</v>
      </c>
      <c r="AH41" s="47">
        <v>0</v>
      </c>
      <c r="AI41" s="47">
        <v>14</v>
      </c>
      <c r="AJ41" s="47">
        <v>12</v>
      </c>
      <c r="AK41" s="47">
        <v>1</v>
      </c>
      <c r="AL41" s="47">
        <v>1</v>
      </c>
      <c r="AM41" s="47">
        <v>1</v>
      </c>
      <c r="AN41" s="46">
        <v>16</v>
      </c>
      <c r="AO41" s="47">
        <v>0</v>
      </c>
      <c r="AP41" s="47">
        <v>10</v>
      </c>
      <c r="AQ41" s="48">
        <f>SUM(W41:AP41)</f>
        <v>804</v>
      </c>
    </row>
    <row r="42" spans="1:43" ht="18.899999999999999" customHeight="1">
      <c r="A42" s="44" t="s">
        <v>66</v>
      </c>
      <c r="B42" s="45">
        <v>718</v>
      </c>
      <c r="C42" s="46">
        <v>103</v>
      </c>
      <c r="D42" s="46">
        <v>2</v>
      </c>
      <c r="E42" s="46">
        <v>29</v>
      </c>
      <c r="F42" s="46">
        <v>13</v>
      </c>
      <c r="G42" s="46">
        <v>72</v>
      </c>
      <c r="H42" s="46">
        <v>1</v>
      </c>
      <c r="I42" s="46">
        <v>0</v>
      </c>
      <c r="J42" s="46">
        <v>6</v>
      </c>
      <c r="K42" s="47">
        <v>0</v>
      </c>
      <c r="L42" s="47">
        <v>0</v>
      </c>
      <c r="M42" s="47">
        <v>0</v>
      </c>
      <c r="N42" s="47">
        <v>9</v>
      </c>
      <c r="O42" s="47">
        <v>11</v>
      </c>
      <c r="P42" s="47">
        <v>0</v>
      </c>
      <c r="Q42" s="47">
        <v>2</v>
      </c>
      <c r="R42" s="47">
        <v>0</v>
      </c>
      <c r="S42" s="46">
        <v>22</v>
      </c>
      <c r="T42" s="47">
        <v>0</v>
      </c>
      <c r="U42" s="47">
        <v>6</v>
      </c>
      <c r="V42" s="48">
        <f t="shared" si="9"/>
        <v>994</v>
      </c>
      <c r="W42" s="45">
        <v>511</v>
      </c>
      <c r="X42" s="46">
        <v>100</v>
      </c>
      <c r="Y42" s="46">
        <v>4</v>
      </c>
      <c r="Z42" s="46">
        <v>40</v>
      </c>
      <c r="AA42" s="46">
        <v>10</v>
      </c>
      <c r="AB42" s="46">
        <v>74</v>
      </c>
      <c r="AC42" s="46">
        <v>0</v>
      </c>
      <c r="AD42" s="46">
        <v>0</v>
      </c>
      <c r="AE42" s="46">
        <v>10</v>
      </c>
      <c r="AF42" s="47">
        <v>0</v>
      </c>
      <c r="AG42" s="47">
        <v>0</v>
      </c>
      <c r="AH42" s="47">
        <v>0</v>
      </c>
      <c r="AI42" s="47">
        <v>8</v>
      </c>
      <c r="AJ42" s="47">
        <v>14</v>
      </c>
      <c r="AK42" s="47">
        <v>1</v>
      </c>
      <c r="AL42" s="47">
        <v>0</v>
      </c>
      <c r="AM42" s="47">
        <v>0</v>
      </c>
      <c r="AN42" s="46">
        <v>10</v>
      </c>
      <c r="AO42" s="47">
        <v>0</v>
      </c>
      <c r="AP42" s="47">
        <v>6</v>
      </c>
      <c r="AQ42" s="48">
        <f>SUM(W42:AP42)</f>
        <v>788</v>
      </c>
    </row>
    <row r="43" spans="1:43" ht="18.899999999999999" customHeight="1" thickBot="1">
      <c r="A43" s="49" t="s">
        <v>67</v>
      </c>
      <c r="B43" s="45">
        <v>722</v>
      </c>
      <c r="C43" s="46">
        <v>97</v>
      </c>
      <c r="D43" s="46">
        <v>3</v>
      </c>
      <c r="E43" s="46">
        <v>44</v>
      </c>
      <c r="F43" s="46">
        <v>12</v>
      </c>
      <c r="G43" s="46">
        <v>75</v>
      </c>
      <c r="H43" s="46">
        <v>1</v>
      </c>
      <c r="I43" s="46">
        <v>0</v>
      </c>
      <c r="J43" s="46">
        <v>10</v>
      </c>
      <c r="K43" s="47">
        <v>0</v>
      </c>
      <c r="L43" s="47">
        <v>0</v>
      </c>
      <c r="M43" s="47">
        <v>0</v>
      </c>
      <c r="N43" s="47">
        <v>10</v>
      </c>
      <c r="O43" s="47">
        <v>13</v>
      </c>
      <c r="P43" s="47">
        <v>0</v>
      </c>
      <c r="Q43" s="47">
        <v>3</v>
      </c>
      <c r="R43" s="47">
        <v>1</v>
      </c>
      <c r="S43" s="46">
        <v>25</v>
      </c>
      <c r="T43" s="47">
        <v>0</v>
      </c>
      <c r="U43" s="47">
        <v>10</v>
      </c>
      <c r="V43" s="48">
        <f t="shared" si="9"/>
        <v>1026</v>
      </c>
      <c r="W43" s="45">
        <v>516</v>
      </c>
      <c r="X43" s="46">
        <v>102</v>
      </c>
      <c r="Y43" s="46">
        <v>9</v>
      </c>
      <c r="Z43" s="46">
        <v>37</v>
      </c>
      <c r="AA43" s="46">
        <v>9</v>
      </c>
      <c r="AB43" s="46">
        <v>72</v>
      </c>
      <c r="AC43" s="46">
        <v>2</v>
      </c>
      <c r="AD43" s="46">
        <v>0</v>
      </c>
      <c r="AE43" s="46">
        <v>11</v>
      </c>
      <c r="AF43" s="47">
        <v>0</v>
      </c>
      <c r="AG43" s="47">
        <v>0</v>
      </c>
      <c r="AH43" s="47">
        <v>0</v>
      </c>
      <c r="AI43" s="47">
        <v>4</v>
      </c>
      <c r="AJ43" s="47">
        <v>16</v>
      </c>
      <c r="AK43" s="47">
        <v>1</v>
      </c>
      <c r="AL43" s="47">
        <v>0</v>
      </c>
      <c r="AM43" s="47">
        <v>0</v>
      </c>
      <c r="AN43" s="46">
        <v>14</v>
      </c>
      <c r="AO43" s="47">
        <v>1</v>
      </c>
      <c r="AP43" s="47">
        <v>9</v>
      </c>
      <c r="AQ43" s="48">
        <f>SUM(W43:AP43)</f>
        <v>803</v>
      </c>
    </row>
    <row r="44" spans="1:43" ht="18.899999999999999" customHeight="1" thickBot="1">
      <c r="A44" s="50" t="s">
        <v>47</v>
      </c>
      <c r="B44" s="51">
        <f t="shared" ref="B44:AQ44" si="10">SUM(B40:B43)</f>
        <v>2857</v>
      </c>
      <c r="C44" s="52">
        <f t="shared" si="10"/>
        <v>401</v>
      </c>
      <c r="D44" s="52">
        <f t="shared" si="10"/>
        <v>10</v>
      </c>
      <c r="E44" s="52">
        <f t="shared" si="10"/>
        <v>149</v>
      </c>
      <c r="F44" s="52">
        <f t="shared" si="10"/>
        <v>48</v>
      </c>
      <c r="G44" s="52">
        <f t="shared" si="10"/>
        <v>269</v>
      </c>
      <c r="H44" s="52">
        <f t="shared" si="10"/>
        <v>5</v>
      </c>
      <c r="I44" s="52">
        <f t="shared" si="10"/>
        <v>0</v>
      </c>
      <c r="J44" s="52">
        <f t="shared" si="10"/>
        <v>30</v>
      </c>
      <c r="K44" s="53">
        <f t="shared" si="10"/>
        <v>0</v>
      </c>
      <c r="L44" s="53">
        <f t="shared" si="10"/>
        <v>0</v>
      </c>
      <c r="M44" s="53">
        <f t="shared" si="10"/>
        <v>0</v>
      </c>
      <c r="N44" s="53">
        <f t="shared" si="10"/>
        <v>40</v>
      </c>
      <c r="O44" s="53">
        <f t="shared" si="10"/>
        <v>41</v>
      </c>
      <c r="P44" s="53">
        <f t="shared" si="10"/>
        <v>1</v>
      </c>
      <c r="Q44" s="53">
        <f t="shared" si="10"/>
        <v>7</v>
      </c>
      <c r="R44" s="53">
        <f t="shared" si="10"/>
        <v>1</v>
      </c>
      <c r="S44" s="52">
        <f t="shared" si="10"/>
        <v>87</v>
      </c>
      <c r="T44" s="53">
        <f t="shared" si="10"/>
        <v>0</v>
      </c>
      <c r="U44" s="53">
        <f t="shared" si="10"/>
        <v>33</v>
      </c>
      <c r="V44" s="54">
        <f t="shared" si="10"/>
        <v>3979</v>
      </c>
      <c r="W44" s="51">
        <f t="shared" si="10"/>
        <v>2082</v>
      </c>
      <c r="X44" s="52">
        <f t="shared" si="10"/>
        <v>359</v>
      </c>
      <c r="Y44" s="52">
        <f t="shared" si="10"/>
        <v>25</v>
      </c>
      <c r="Z44" s="52">
        <f t="shared" si="10"/>
        <v>150</v>
      </c>
      <c r="AA44" s="52">
        <f t="shared" si="10"/>
        <v>45</v>
      </c>
      <c r="AB44" s="52">
        <f t="shared" si="10"/>
        <v>272</v>
      </c>
      <c r="AC44" s="52">
        <f t="shared" si="10"/>
        <v>5</v>
      </c>
      <c r="AD44" s="52">
        <f t="shared" si="10"/>
        <v>0</v>
      </c>
      <c r="AE44" s="52">
        <f t="shared" si="10"/>
        <v>42</v>
      </c>
      <c r="AF44" s="53">
        <f t="shared" si="10"/>
        <v>0</v>
      </c>
      <c r="AG44" s="53">
        <f t="shared" si="10"/>
        <v>0</v>
      </c>
      <c r="AH44" s="53">
        <f t="shared" si="10"/>
        <v>0</v>
      </c>
      <c r="AI44" s="53">
        <f t="shared" si="10"/>
        <v>36</v>
      </c>
      <c r="AJ44" s="53">
        <f t="shared" si="10"/>
        <v>48</v>
      </c>
      <c r="AK44" s="53">
        <f t="shared" si="10"/>
        <v>10</v>
      </c>
      <c r="AL44" s="53">
        <f t="shared" si="10"/>
        <v>2</v>
      </c>
      <c r="AM44" s="53">
        <f t="shared" si="10"/>
        <v>2</v>
      </c>
      <c r="AN44" s="52">
        <f t="shared" si="10"/>
        <v>52</v>
      </c>
      <c r="AO44" s="53">
        <f t="shared" si="10"/>
        <v>1</v>
      </c>
      <c r="AP44" s="53">
        <f t="shared" si="10"/>
        <v>33</v>
      </c>
      <c r="AQ44" s="54">
        <f t="shared" si="10"/>
        <v>3164</v>
      </c>
    </row>
    <row r="45" spans="1:43" ht="18.899999999999999" customHeight="1">
      <c r="A45" s="57" t="s">
        <v>68</v>
      </c>
      <c r="B45" s="40">
        <v>728</v>
      </c>
      <c r="C45" s="41">
        <v>94</v>
      </c>
      <c r="D45" s="41">
        <v>2</v>
      </c>
      <c r="E45" s="41">
        <v>47</v>
      </c>
      <c r="F45" s="41">
        <v>5</v>
      </c>
      <c r="G45" s="41">
        <v>64</v>
      </c>
      <c r="H45" s="41">
        <v>3</v>
      </c>
      <c r="I45" s="41">
        <v>0</v>
      </c>
      <c r="J45" s="41">
        <v>11</v>
      </c>
      <c r="K45" s="42">
        <v>0</v>
      </c>
      <c r="L45" s="42">
        <v>0</v>
      </c>
      <c r="M45" s="42">
        <v>0</v>
      </c>
      <c r="N45" s="42">
        <v>12</v>
      </c>
      <c r="O45" s="42">
        <v>9</v>
      </c>
      <c r="P45" s="42">
        <v>1</v>
      </c>
      <c r="Q45" s="42">
        <v>1</v>
      </c>
      <c r="R45" s="42">
        <v>0</v>
      </c>
      <c r="S45" s="41">
        <v>20</v>
      </c>
      <c r="T45" s="42">
        <v>0</v>
      </c>
      <c r="U45" s="42">
        <v>5</v>
      </c>
      <c r="V45" s="43">
        <f t="shared" ref="V45:V48" si="11">SUM(B45:U45)</f>
        <v>1002</v>
      </c>
      <c r="W45" s="40">
        <v>522</v>
      </c>
      <c r="X45" s="41">
        <v>73</v>
      </c>
      <c r="Y45" s="41">
        <v>5</v>
      </c>
      <c r="Z45" s="41">
        <v>46</v>
      </c>
      <c r="AA45" s="41">
        <v>13</v>
      </c>
      <c r="AB45" s="41">
        <v>66</v>
      </c>
      <c r="AC45" s="41">
        <v>2</v>
      </c>
      <c r="AD45" s="41">
        <v>0</v>
      </c>
      <c r="AE45" s="41">
        <v>8</v>
      </c>
      <c r="AF45" s="42">
        <v>0</v>
      </c>
      <c r="AG45" s="42">
        <v>0</v>
      </c>
      <c r="AH45" s="42">
        <v>0</v>
      </c>
      <c r="AI45" s="42">
        <v>8</v>
      </c>
      <c r="AJ45" s="42">
        <v>13</v>
      </c>
      <c r="AK45" s="42">
        <v>0</v>
      </c>
      <c r="AL45" s="42">
        <v>0</v>
      </c>
      <c r="AM45" s="42">
        <v>0</v>
      </c>
      <c r="AN45" s="41">
        <v>13</v>
      </c>
      <c r="AO45" s="42">
        <v>1</v>
      </c>
      <c r="AP45" s="42">
        <v>3</v>
      </c>
      <c r="AQ45" s="43">
        <f>SUM(W45:AP45)</f>
        <v>773</v>
      </c>
    </row>
    <row r="46" spans="1:43" ht="18.899999999999999" customHeight="1">
      <c r="A46" s="44" t="s">
        <v>69</v>
      </c>
      <c r="B46" s="45">
        <v>722</v>
      </c>
      <c r="C46" s="46">
        <v>98</v>
      </c>
      <c r="D46" s="46">
        <v>1</v>
      </c>
      <c r="E46" s="46">
        <v>45</v>
      </c>
      <c r="F46" s="46">
        <v>9</v>
      </c>
      <c r="G46" s="46">
        <v>74</v>
      </c>
      <c r="H46" s="46">
        <v>0</v>
      </c>
      <c r="I46" s="46">
        <v>0</v>
      </c>
      <c r="J46" s="46">
        <v>10</v>
      </c>
      <c r="K46" s="47">
        <v>0</v>
      </c>
      <c r="L46" s="47">
        <v>0</v>
      </c>
      <c r="M46" s="47">
        <v>0</v>
      </c>
      <c r="N46" s="47">
        <v>8</v>
      </c>
      <c r="O46" s="47">
        <v>12</v>
      </c>
      <c r="P46" s="47">
        <v>2</v>
      </c>
      <c r="Q46" s="47">
        <v>1</v>
      </c>
      <c r="R46" s="47">
        <v>0</v>
      </c>
      <c r="S46" s="46">
        <v>22</v>
      </c>
      <c r="T46" s="47">
        <v>0</v>
      </c>
      <c r="U46" s="47">
        <v>8</v>
      </c>
      <c r="V46" s="48">
        <f t="shared" si="11"/>
        <v>1012</v>
      </c>
      <c r="W46" s="45">
        <v>565</v>
      </c>
      <c r="X46" s="46">
        <v>83</v>
      </c>
      <c r="Y46" s="46">
        <v>7</v>
      </c>
      <c r="Z46" s="46">
        <v>49</v>
      </c>
      <c r="AA46" s="46">
        <v>9</v>
      </c>
      <c r="AB46" s="46">
        <v>70</v>
      </c>
      <c r="AC46" s="46">
        <v>1</v>
      </c>
      <c r="AD46" s="46">
        <v>0</v>
      </c>
      <c r="AE46" s="46">
        <v>9</v>
      </c>
      <c r="AF46" s="47">
        <v>0</v>
      </c>
      <c r="AG46" s="47">
        <v>0</v>
      </c>
      <c r="AH46" s="47">
        <v>0</v>
      </c>
      <c r="AI46" s="47">
        <v>12</v>
      </c>
      <c r="AJ46" s="47">
        <v>15</v>
      </c>
      <c r="AK46" s="47">
        <v>2</v>
      </c>
      <c r="AL46" s="47">
        <v>1</v>
      </c>
      <c r="AM46" s="47">
        <v>0</v>
      </c>
      <c r="AN46" s="46">
        <v>19</v>
      </c>
      <c r="AO46" s="47">
        <v>1</v>
      </c>
      <c r="AP46" s="47">
        <v>9</v>
      </c>
      <c r="AQ46" s="48">
        <f>SUM(W46:AP46)</f>
        <v>852</v>
      </c>
    </row>
    <row r="47" spans="1:43" ht="18.899999999999999" customHeight="1">
      <c r="A47" s="44" t="s">
        <v>70</v>
      </c>
      <c r="B47" s="45">
        <v>730</v>
      </c>
      <c r="C47" s="46">
        <v>113</v>
      </c>
      <c r="D47" s="46">
        <v>2</v>
      </c>
      <c r="E47" s="46">
        <v>43</v>
      </c>
      <c r="F47" s="46">
        <v>9</v>
      </c>
      <c r="G47" s="46">
        <v>67</v>
      </c>
      <c r="H47" s="46">
        <v>0</v>
      </c>
      <c r="I47" s="46">
        <v>0</v>
      </c>
      <c r="J47" s="46">
        <v>9</v>
      </c>
      <c r="K47" s="47">
        <v>0</v>
      </c>
      <c r="L47" s="47">
        <v>0</v>
      </c>
      <c r="M47" s="47">
        <v>0</v>
      </c>
      <c r="N47" s="47">
        <v>7</v>
      </c>
      <c r="O47" s="47">
        <v>13</v>
      </c>
      <c r="P47" s="47">
        <v>3</v>
      </c>
      <c r="Q47" s="47">
        <v>1</v>
      </c>
      <c r="R47" s="47">
        <v>0</v>
      </c>
      <c r="S47" s="46">
        <v>13</v>
      </c>
      <c r="T47" s="47">
        <v>0</v>
      </c>
      <c r="U47" s="47">
        <v>5</v>
      </c>
      <c r="V47" s="48">
        <f t="shared" si="11"/>
        <v>1015</v>
      </c>
      <c r="W47" s="45">
        <v>579</v>
      </c>
      <c r="X47" s="46">
        <v>90</v>
      </c>
      <c r="Y47" s="46">
        <v>3</v>
      </c>
      <c r="Z47" s="46">
        <v>47</v>
      </c>
      <c r="AA47" s="46">
        <v>8</v>
      </c>
      <c r="AB47" s="46">
        <v>58</v>
      </c>
      <c r="AC47" s="46">
        <v>2</v>
      </c>
      <c r="AD47" s="46">
        <v>0</v>
      </c>
      <c r="AE47" s="46">
        <v>6</v>
      </c>
      <c r="AF47" s="47">
        <v>0</v>
      </c>
      <c r="AG47" s="47">
        <v>0</v>
      </c>
      <c r="AH47" s="47">
        <v>0</v>
      </c>
      <c r="AI47" s="47">
        <v>14</v>
      </c>
      <c r="AJ47" s="47">
        <v>9</v>
      </c>
      <c r="AK47" s="47">
        <v>4</v>
      </c>
      <c r="AL47" s="47">
        <v>1</v>
      </c>
      <c r="AM47" s="47">
        <v>0</v>
      </c>
      <c r="AN47" s="46">
        <v>16</v>
      </c>
      <c r="AO47" s="47">
        <v>0</v>
      </c>
      <c r="AP47" s="47">
        <v>7</v>
      </c>
      <c r="AQ47" s="48">
        <f>SUM(W47:AP47)</f>
        <v>844</v>
      </c>
    </row>
    <row r="48" spans="1:43" ht="18.899999999999999" customHeight="1" thickBot="1">
      <c r="A48" s="49" t="s">
        <v>71</v>
      </c>
      <c r="B48" s="45">
        <v>734</v>
      </c>
      <c r="C48" s="46">
        <v>118</v>
      </c>
      <c r="D48" s="46">
        <v>1</v>
      </c>
      <c r="E48" s="46">
        <v>40</v>
      </c>
      <c r="F48" s="46">
        <v>7</v>
      </c>
      <c r="G48" s="46">
        <v>65</v>
      </c>
      <c r="H48" s="46">
        <v>0</v>
      </c>
      <c r="I48" s="46">
        <v>0</v>
      </c>
      <c r="J48" s="46">
        <v>12</v>
      </c>
      <c r="K48" s="47">
        <v>0</v>
      </c>
      <c r="L48" s="47">
        <v>0</v>
      </c>
      <c r="M48" s="47">
        <v>0</v>
      </c>
      <c r="N48" s="47">
        <v>10</v>
      </c>
      <c r="O48" s="47">
        <v>12</v>
      </c>
      <c r="P48" s="47">
        <v>1</v>
      </c>
      <c r="Q48" s="47">
        <v>1</v>
      </c>
      <c r="R48" s="47">
        <v>0</v>
      </c>
      <c r="S48" s="46">
        <v>18</v>
      </c>
      <c r="T48" s="47">
        <v>0</v>
      </c>
      <c r="U48" s="47">
        <v>9</v>
      </c>
      <c r="V48" s="48">
        <f t="shared" si="11"/>
        <v>1028</v>
      </c>
      <c r="W48" s="45">
        <v>585</v>
      </c>
      <c r="X48" s="46">
        <v>91</v>
      </c>
      <c r="Y48" s="46">
        <v>4</v>
      </c>
      <c r="Z48" s="46">
        <v>49</v>
      </c>
      <c r="AA48" s="46">
        <v>8</v>
      </c>
      <c r="AB48" s="46">
        <v>62</v>
      </c>
      <c r="AC48" s="46">
        <v>1</v>
      </c>
      <c r="AD48" s="46">
        <v>0</v>
      </c>
      <c r="AE48" s="46">
        <v>12</v>
      </c>
      <c r="AF48" s="47">
        <v>0</v>
      </c>
      <c r="AG48" s="47">
        <v>0</v>
      </c>
      <c r="AH48" s="47">
        <v>0</v>
      </c>
      <c r="AI48" s="47">
        <v>16</v>
      </c>
      <c r="AJ48" s="47">
        <v>12</v>
      </c>
      <c r="AK48" s="47">
        <v>2</v>
      </c>
      <c r="AL48" s="47">
        <v>1</v>
      </c>
      <c r="AM48" s="47">
        <v>0</v>
      </c>
      <c r="AN48" s="46">
        <v>18</v>
      </c>
      <c r="AO48" s="47">
        <v>0</v>
      </c>
      <c r="AP48" s="47">
        <v>14</v>
      </c>
      <c r="AQ48" s="48">
        <f>SUM(W48:AP48)</f>
        <v>875</v>
      </c>
    </row>
    <row r="49" spans="1:43" ht="18.899999999999999" customHeight="1" thickBot="1">
      <c r="A49" s="50" t="s">
        <v>47</v>
      </c>
      <c r="B49" s="51">
        <f t="shared" ref="B49:AQ49" si="12">SUM(B45:B48)</f>
        <v>2914</v>
      </c>
      <c r="C49" s="52">
        <f t="shared" si="12"/>
        <v>423</v>
      </c>
      <c r="D49" s="52">
        <f t="shared" si="12"/>
        <v>6</v>
      </c>
      <c r="E49" s="52">
        <f t="shared" si="12"/>
        <v>175</v>
      </c>
      <c r="F49" s="52">
        <f t="shared" si="12"/>
        <v>30</v>
      </c>
      <c r="G49" s="52">
        <f t="shared" si="12"/>
        <v>270</v>
      </c>
      <c r="H49" s="52">
        <f t="shared" si="12"/>
        <v>3</v>
      </c>
      <c r="I49" s="52">
        <f t="shared" si="12"/>
        <v>0</v>
      </c>
      <c r="J49" s="52">
        <f t="shared" si="12"/>
        <v>42</v>
      </c>
      <c r="K49" s="53">
        <f t="shared" si="12"/>
        <v>0</v>
      </c>
      <c r="L49" s="53">
        <f t="shared" si="12"/>
        <v>0</v>
      </c>
      <c r="M49" s="53">
        <f t="shared" si="12"/>
        <v>0</v>
      </c>
      <c r="N49" s="53">
        <f t="shared" si="12"/>
        <v>37</v>
      </c>
      <c r="O49" s="53">
        <f t="shared" si="12"/>
        <v>46</v>
      </c>
      <c r="P49" s="53">
        <f t="shared" si="12"/>
        <v>7</v>
      </c>
      <c r="Q49" s="53">
        <f t="shared" si="12"/>
        <v>4</v>
      </c>
      <c r="R49" s="53">
        <f t="shared" si="12"/>
        <v>0</v>
      </c>
      <c r="S49" s="52">
        <f t="shared" si="12"/>
        <v>73</v>
      </c>
      <c r="T49" s="53">
        <f t="shared" si="12"/>
        <v>0</v>
      </c>
      <c r="U49" s="53">
        <f t="shared" si="12"/>
        <v>27</v>
      </c>
      <c r="V49" s="54">
        <f t="shared" si="12"/>
        <v>4057</v>
      </c>
      <c r="W49" s="51">
        <f t="shared" si="12"/>
        <v>2251</v>
      </c>
      <c r="X49" s="52">
        <f t="shared" si="12"/>
        <v>337</v>
      </c>
      <c r="Y49" s="52">
        <f t="shared" si="12"/>
        <v>19</v>
      </c>
      <c r="Z49" s="52">
        <f t="shared" si="12"/>
        <v>191</v>
      </c>
      <c r="AA49" s="52">
        <f t="shared" si="12"/>
        <v>38</v>
      </c>
      <c r="AB49" s="52">
        <f t="shared" si="12"/>
        <v>256</v>
      </c>
      <c r="AC49" s="52">
        <f t="shared" si="12"/>
        <v>6</v>
      </c>
      <c r="AD49" s="52">
        <f t="shared" si="12"/>
        <v>0</v>
      </c>
      <c r="AE49" s="52">
        <f t="shared" si="12"/>
        <v>35</v>
      </c>
      <c r="AF49" s="53">
        <f t="shared" si="12"/>
        <v>0</v>
      </c>
      <c r="AG49" s="53">
        <f t="shared" si="12"/>
        <v>0</v>
      </c>
      <c r="AH49" s="53">
        <f t="shared" si="12"/>
        <v>0</v>
      </c>
      <c r="AI49" s="53">
        <f t="shared" si="12"/>
        <v>50</v>
      </c>
      <c r="AJ49" s="53">
        <f t="shared" si="12"/>
        <v>49</v>
      </c>
      <c r="AK49" s="53">
        <f t="shared" si="12"/>
        <v>8</v>
      </c>
      <c r="AL49" s="53">
        <f t="shared" si="12"/>
        <v>3</v>
      </c>
      <c r="AM49" s="53">
        <f t="shared" si="12"/>
        <v>0</v>
      </c>
      <c r="AN49" s="52">
        <f t="shared" si="12"/>
        <v>66</v>
      </c>
      <c r="AO49" s="53">
        <f t="shared" si="12"/>
        <v>2</v>
      </c>
      <c r="AP49" s="53">
        <f t="shared" si="12"/>
        <v>33</v>
      </c>
      <c r="AQ49" s="54">
        <f t="shared" si="12"/>
        <v>3344</v>
      </c>
    </row>
    <row r="50" spans="1:43" ht="18.899999999999999" customHeight="1">
      <c r="A50" s="39" t="s">
        <v>72</v>
      </c>
      <c r="B50" s="40">
        <v>736</v>
      </c>
      <c r="C50" s="41">
        <v>121</v>
      </c>
      <c r="D50" s="41">
        <v>3</v>
      </c>
      <c r="E50" s="41">
        <v>47</v>
      </c>
      <c r="F50" s="41">
        <v>7</v>
      </c>
      <c r="G50" s="41">
        <v>81</v>
      </c>
      <c r="H50" s="41">
        <v>3</v>
      </c>
      <c r="I50" s="41">
        <v>0</v>
      </c>
      <c r="J50" s="41">
        <v>7</v>
      </c>
      <c r="K50" s="42">
        <v>0</v>
      </c>
      <c r="L50" s="42">
        <v>0</v>
      </c>
      <c r="M50" s="42">
        <v>0</v>
      </c>
      <c r="N50" s="42">
        <v>12</v>
      </c>
      <c r="O50" s="42">
        <v>12</v>
      </c>
      <c r="P50" s="42">
        <v>4</v>
      </c>
      <c r="Q50" s="42">
        <v>1</v>
      </c>
      <c r="R50" s="42">
        <v>0</v>
      </c>
      <c r="S50" s="41">
        <v>15</v>
      </c>
      <c r="T50" s="42">
        <v>0</v>
      </c>
      <c r="U50" s="42">
        <v>4</v>
      </c>
      <c r="V50" s="43">
        <f t="shared" ref="V50:V53" si="13">SUM(B50:U50)</f>
        <v>1053</v>
      </c>
      <c r="W50" s="40">
        <v>600</v>
      </c>
      <c r="X50" s="41">
        <v>89</v>
      </c>
      <c r="Y50" s="41">
        <v>8</v>
      </c>
      <c r="Z50" s="41">
        <v>42</v>
      </c>
      <c r="AA50" s="41">
        <v>9</v>
      </c>
      <c r="AB50" s="41">
        <v>68</v>
      </c>
      <c r="AC50" s="41">
        <v>0</v>
      </c>
      <c r="AD50" s="41">
        <v>0</v>
      </c>
      <c r="AE50" s="41">
        <v>13</v>
      </c>
      <c r="AF50" s="42">
        <v>0</v>
      </c>
      <c r="AG50" s="42">
        <v>0</v>
      </c>
      <c r="AH50" s="42">
        <v>0</v>
      </c>
      <c r="AI50" s="42">
        <v>9</v>
      </c>
      <c r="AJ50" s="42">
        <v>14</v>
      </c>
      <c r="AK50" s="42">
        <v>0</v>
      </c>
      <c r="AL50" s="42">
        <v>2</v>
      </c>
      <c r="AM50" s="42">
        <v>0</v>
      </c>
      <c r="AN50" s="41">
        <v>20</v>
      </c>
      <c r="AO50" s="42">
        <v>0</v>
      </c>
      <c r="AP50" s="42">
        <v>11</v>
      </c>
      <c r="AQ50" s="43">
        <f>SUM(W50:AP50)</f>
        <v>885</v>
      </c>
    </row>
    <row r="51" spans="1:43" ht="18.899999999999999" customHeight="1">
      <c r="A51" s="44" t="s">
        <v>73</v>
      </c>
      <c r="B51" s="45">
        <v>727</v>
      </c>
      <c r="C51" s="46">
        <v>115</v>
      </c>
      <c r="D51" s="46">
        <v>1</v>
      </c>
      <c r="E51" s="46">
        <v>29</v>
      </c>
      <c r="F51" s="46">
        <v>6</v>
      </c>
      <c r="G51" s="46">
        <v>66</v>
      </c>
      <c r="H51" s="46">
        <v>0</v>
      </c>
      <c r="I51" s="46">
        <v>0</v>
      </c>
      <c r="J51" s="46">
        <v>10</v>
      </c>
      <c r="K51" s="47">
        <v>0</v>
      </c>
      <c r="L51" s="47">
        <v>0</v>
      </c>
      <c r="M51" s="47">
        <v>0</v>
      </c>
      <c r="N51" s="47">
        <v>14</v>
      </c>
      <c r="O51" s="47">
        <v>10</v>
      </c>
      <c r="P51" s="47">
        <v>2</v>
      </c>
      <c r="Q51" s="47">
        <v>1</v>
      </c>
      <c r="R51" s="47">
        <v>0</v>
      </c>
      <c r="S51" s="46">
        <v>13</v>
      </c>
      <c r="T51" s="47">
        <v>0</v>
      </c>
      <c r="U51" s="47">
        <v>5</v>
      </c>
      <c r="V51" s="48">
        <f t="shared" si="13"/>
        <v>999</v>
      </c>
      <c r="W51" s="45">
        <v>609</v>
      </c>
      <c r="X51" s="46">
        <v>82</v>
      </c>
      <c r="Y51" s="46">
        <v>7</v>
      </c>
      <c r="Z51" s="46">
        <v>45</v>
      </c>
      <c r="AA51" s="46">
        <v>15</v>
      </c>
      <c r="AB51" s="46">
        <v>66</v>
      </c>
      <c r="AC51" s="46">
        <v>1</v>
      </c>
      <c r="AD51" s="46">
        <v>0</v>
      </c>
      <c r="AE51" s="46">
        <v>11</v>
      </c>
      <c r="AF51" s="47">
        <v>0</v>
      </c>
      <c r="AG51" s="47">
        <v>0</v>
      </c>
      <c r="AH51" s="47">
        <v>0</v>
      </c>
      <c r="AI51" s="47">
        <v>7</v>
      </c>
      <c r="AJ51" s="47">
        <v>12</v>
      </c>
      <c r="AK51" s="47">
        <v>1</v>
      </c>
      <c r="AL51" s="47">
        <v>1</v>
      </c>
      <c r="AM51" s="47">
        <v>0</v>
      </c>
      <c r="AN51" s="46">
        <v>15</v>
      </c>
      <c r="AO51" s="47">
        <v>1</v>
      </c>
      <c r="AP51" s="47">
        <v>7</v>
      </c>
      <c r="AQ51" s="48">
        <f>SUM(W51:AP51)</f>
        <v>880</v>
      </c>
    </row>
    <row r="52" spans="1:43" ht="18.899999999999999" customHeight="1">
      <c r="A52" s="44" t="s">
        <v>74</v>
      </c>
      <c r="B52" s="45">
        <v>697</v>
      </c>
      <c r="C52" s="46">
        <v>125</v>
      </c>
      <c r="D52" s="46">
        <v>1</v>
      </c>
      <c r="E52" s="46">
        <v>57</v>
      </c>
      <c r="F52" s="46">
        <v>7</v>
      </c>
      <c r="G52" s="46">
        <v>56</v>
      </c>
      <c r="H52" s="46">
        <v>1</v>
      </c>
      <c r="I52" s="46">
        <v>0</v>
      </c>
      <c r="J52" s="46">
        <v>11</v>
      </c>
      <c r="K52" s="47">
        <v>0</v>
      </c>
      <c r="L52" s="47">
        <v>0</v>
      </c>
      <c r="M52" s="47">
        <v>0</v>
      </c>
      <c r="N52" s="47">
        <v>10</v>
      </c>
      <c r="O52" s="47">
        <v>13</v>
      </c>
      <c r="P52" s="47">
        <v>2</v>
      </c>
      <c r="Q52" s="47">
        <v>1</v>
      </c>
      <c r="R52" s="47">
        <v>0</v>
      </c>
      <c r="S52" s="46">
        <v>16</v>
      </c>
      <c r="T52" s="47">
        <v>0</v>
      </c>
      <c r="U52" s="47">
        <v>7</v>
      </c>
      <c r="V52" s="48">
        <f t="shared" si="13"/>
        <v>1004</v>
      </c>
      <c r="W52" s="45">
        <v>618</v>
      </c>
      <c r="X52" s="46">
        <v>73</v>
      </c>
      <c r="Y52" s="46">
        <v>3</v>
      </c>
      <c r="Z52" s="46">
        <v>45</v>
      </c>
      <c r="AA52" s="46">
        <v>16</v>
      </c>
      <c r="AB52" s="46">
        <v>62</v>
      </c>
      <c r="AC52" s="46">
        <v>2</v>
      </c>
      <c r="AD52" s="46">
        <v>0</v>
      </c>
      <c r="AE52" s="46">
        <v>5</v>
      </c>
      <c r="AF52" s="47">
        <v>1</v>
      </c>
      <c r="AG52" s="47">
        <v>0</v>
      </c>
      <c r="AH52" s="47">
        <v>0</v>
      </c>
      <c r="AI52" s="47">
        <v>8</v>
      </c>
      <c r="AJ52" s="47">
        <v>10</v>
      </c>
      <c r="AK52" s="47">
        <v>1</v>
      </c>
      <c r="AL52" s="47">
        <v>0</v>
      </c>
      <c r="AM52" s="47">
        <v>0</v>
      </c>
      <c r="AN52" s="46">
        <v>16</v>
      </c>
      <c r="AO52" s="47">
        <v>1</v>
      </c>
      <c r="AP52" s="47">
        <v>2</v>
      </c>
      <c r="AQ52" s="48">
        <f>SUM(W52:AP52)</f>
        <v>863</v>
      </c>
    </row>
    <row r="53" spans="1:43" ht="18.899999999999999" customHeight="1" thickBot="1">
      <c r="A53" s="49" t="s">
        <v>75</v>
      </c>
      <c r="B53" s="45">
        <v>655</v>
      </c>
      <c r="C53" s="46">
        <v>123</v>
      </c>
      <c r="D53" s="46">
        <v>2</v>
      </c>
      <c r="E53" s="46">
        <v>45</v>
      </c>
      <c r="F53" s="46">
        <v>6</v>
      </c>
      <c r="G53" s="46">
        <v>64</v>
      </c>
      <c r="H53" s="46">
        <v>0</v>
      </c>
      <c r="I53" s="46">
        <v>0</v>
      </c>
      <c r="J53" s="46">
        <v>8</v>
      </c>
      <c r="K53" s="47">
        <v>0</v>
      </c>
      <c r="L53" s="47">
        <v>0</v>
      </c>
      <c r="M53" s="47">
        <v>0</v>
      </c>
      <c r="N53" s="47">
        <v>8</v>
      </c>
      <c r="O53" s="47">
        <v>15</v>
      </c>
      <c r="P53" s="47">
        <v>1</v>
      </c>
      <c r="Q53" s="47">
        <v>0</v>
      </c>
      <c r="R53" s="47">
        <v>0</v>
      </c>
      <c r="S53" s="46">
        <v>13</v>
      </c>
      <c r="T53" s="47">
        <v>0</v>
      </c>
      <c r="U53" s="47">
        <v>12</v>
      </c>
      <c r="V53" s="48">
        <f t="shared" si="13"/>
        <v>952</v>
      </c>
      <c r="W53" s="45">
        <v>622</v>
      </c>
      <c r="X53" s="46">
        <v>76</v>
      </c>
      <c r="Y53" s="46">
        <v>4</v>
      </c>
      <c r="Z53" s="46">
        <v>37</v>
      </c>
      <c r="AA53" s="46">
        <v>11</v>
      </c>
      <c r="AB53" s="46">
        <v>66</v>
      </c>
      <c r="AC53" s="46">
        <v>4</v>
      </c>
      <c r="AD53" s="46">
        <v>0</v>
      </c>
      <c r="AE53" s="46">
        <v>9</v>
      </c>
      <c r="AF53" s="47">
        <v>1</v>
      </c>
      <c r="AG53" s="47">
        <v>0</v>
      </c>
      <c r="AH53" s="47">
        <v>0</v>
      </c>
      <c r="AI53" s="47">
        <v>5</v>
      </c>
      <c r="AJ53" s="47">
        <v>14</v>
      </c>
      <c r="AK53" s="47">
        <v>1</v>
      </c>
      <c r="AL53" s="47">
        <v>1</v>
      </c>
      <c r="AM53" s="47">
        <v>0</v>
      </c>
      <c r="AN53" s="46">
        <v>18</v>
      </c>
      <c r="AO53" s="47">
        <v>0</v>
      </c>
      <c r="AP53" s="47">
        <v>6</v>
      </c>
      <c r="AQ53" s="48">
        <f>SUM(W53:AP53)</f>
        <v>875</v>
      </c>
    </row>
    <row r="54" spans="1:43" ht="18.899999999999999" customHeight="1" thickBot="1">
      <c r="A54" s="50" t="s">
        <v>47</v>
      </c>
      <c r="B54" s="51">
        <f t="shared" ref="B54:AQ54" si="14">SUM(B50:B53)</f>
        <v>2815</v>
      </c>
      <c r="C54" s="52">
        <f t="shared" si="14"/>
        <v>484</v>
      </c>
      <c r="D54" s="52">
        <f t="shared" si="14"/>
        <v>7</v>
      </c>
      <c r="E54" s="52">
        <f t="shared" si="14"/>
        <v>178</v>
      </c>
      <c r="F54" s="52">
        <f t="shared" si="14"/>
        <v>26</v>
      </c>
      <c r="G54" s="52">
        <f t="shared" si="14"/>
        <v>267</v>
      </c>
      <c r="H54" s="52">
        <f t="shared" si="14"/>
        <v>4</v>
      </c>
      <c r="I54" s="52">
        <f t="shared" si="14"/>
        <v>0</v>
      </c>
      <c r="J54" s="52">
        <f t="shared" si="14"/>
        <v>36</v>
      </c>
      <c r="K54" s="53">
        <f t="shared" si="14"/>
        <v>0</v>
      </c>
      <c r="L54" s="53">
        <f t="shared" si="14"/>
        <v>0</v>
      </c>
      <c r="M54" s="53">
        <f t="shared" si="14"/>
        <v>0</v>
      </c>
      <c r="N54" s="53">
        <f t="shared" si="14"/>
        <v>44</v>
      </c>
      <c r="O54" s="53">
        <f t="shared" si="14"/>
        <v>50</v>
      </c>
      <c r="P54" s="53">
        <f t="shared" si="14"/>
        <v>9</v>
      </c>
      <c r="Q54" s="53">
        <f t="shared" si="14"/>
        <v>3</v>
      </c>
      <c r="R54" s="53">
        <f t="shared" si="14"/>
        <v>0</v>
      </c>
      <c r="S54" s="52">
        <f t="shared" si="14"/>
        <v>57</v>
      </c>
      <c r="T54" s="53">
        <f t="shared" si="14"/>
        <v>0</v>
      </c>
      <c r="U54" s="53">
        <f t="shared" si="14"/>
        <v>28</v>
      </c>
      <c r="V54" s="54">
        <f t="shared" si="14"/>
        <v>4008</v>
      </c>
      <c r="W54" s="51">
        <f t="shared" si="14"/>
        <v>2449</v>
      </c>
      <c r="X54" s="52">
        <f t="shared" si="14"/>
        <v>320</v>
      </c>
      <c r="Y54" s="52">
        <f t="shared" si="14"/>
        <v>22</v>
      </c>
      <c r="Z54" s="52">
        <f t="shared" si="14"/>
        <v>169</v>
      </c>
      <c r="AA54" s="52">
        <f t="shared" si="14"/>
        <v>51</v>
      </c>
      <c r="AB54" s="52">
        <f t="shared" si="14"/>
        <v>262</v>
      </c>
      <c r="AC54" s="52">
        <f t="shared" si="14"/>
        <v>7</v>
      </c>
      <c r="AD54" s="52">
        <f t="shared" si="14"/>
        <v>0</v>
      </c>
      <c r="AE54" s="52">
        <f t="shared" si="14"/>
        <v>38</v>
      </c>
      <c r="AF54" s="53">
        <f t="shared" si="14"/>
        <v>2</v>
      </c>
      <c r="AG54" s="53">
        <f t="shared" si="14"/>
        <v>0</v>
      </c>
      <c r="AH54" s="53">
        <f t="shared" si="14"/>
        <v>0</v>
      </c>
      <c r="AI54" s="53">
        <f t="shared" si="14"/>
        <v>29</v>
      </c>
      <c r="AJ54" s="53">
        <f t="shared" si="14"/>
        <v>50</v>
      </c>
      <c r="AK54" s="53">
        <f t="shared" si="14"/>
        <v>3</v>
      </c>
      <c r="AL54" s="53">
        <f t="shared" si="14"/>
        <v>4</v>
      </c>
      <c r="AM54" s="53">
        <f t="shared" si="14"/>
        <v>0</v>
      </c>
      <c r="AN54" s="52">
        <f t="shared" si="14"/>
        <v>69</v>
      </c>
      <c r="AO54" s="53">
        <f t="shared" si="14"/>
        <v>2</v>
      </c>
      <c r="AP54" s="53">
        <f t="shared" si="14"/>
        <v>26</v>
      </c>
      <c r="AQ54" s="54">
        <f t="shared" si="14"/>
        <v>3503</v>
      </c>
    </row>
    <row r="55" spans="1:43" ht="18.899999999999999" customHeight="1">
      <c r="A55" s="39" t="s">
        <v>76</v>
      </c>
      <c r="B55" s="40">
        <v>616</v>
      </c>
      <c r="C55" s="41">
        <v>120</v>
      </c>
      <c r="D55" s="41">
        <v>5</v>
      </c>
      <c r="E55" s="41">
        <v>35</v>
      </c>
      <c r="F55" s="41">
        <v>7</v>
      </c>
      <c r="G55" s="41">
        <v>67</v>
      </c>
      <c r="H55" s="41">
        <v>2</v>
      </c>
      <c r="I55" s="41">
        <v>0</v>
      </c>
      <c r="J55" s="41">
        <v>6</v>
      </c>
      <c r="K55" s="42">
        <v>0</v>
      </c>
      <c r="L55" s="42">
        <v>0</v>
      </c>
      <c r="M55" s="42">
        <v>0</v>
      </c>
      <c r="N55" s="42">
        <v>6</v>
      </c>
      <c r="O55" s="42">
        <v>12</v>
      </c>
      <c r="P55" s="42">
        <v>1</v>
      </c>
      <c r="Q55" s="42">
        <v>0</v>
      </c>
      <c r="R55" s="42">
        <v>0</v>
      </c>
      <c r="S55" s="41">
        <v>12</v>
      </c>
      <c r="T55" s="42">
        <v>0</v>
      </c>
      <c r="U55" s="42">
        <v>14</v>
      </c>
      <c r="V55" s="43">
        <f t="shared" ref="V55:V58" si="15">SUM(B55:U55)</f>
        <v>903</v>
      </c>
      <c r="W55" s="40">
        <v>625</v>
      </c>
      <c r="X55" s="41">
        <v>64</v>
      </c>
      <c r="Y55" s="41">
        <v>5</v>
      </c>
      <c r="Z55" s="41">
        <v>34</v>
      </c>
      <c r="AA55" s="41">
        <v>13</v>
      </c>
      <c r="AB55" s="41">
        <v>61</v>
      </c>
      <c r="AC55" s="41">
        <v>1</v>
      </c>
      <c r="AD55" s="41">
        <v>0</v>
      </c>
      <c r="AE55" s="41">
        <v>6</v>
      </c>
      <c r="AF55" s="42">
        <v>0</v>
      </c>
      <c r="AG55" s="42">
        <v>0</v>
      </c>
      <c r="AH55" s="42">
        <v>0</v>
      </c>
      <c r="AI55" s="42">
        <v>8</v>
      </c>
      <c r="AJ55" s="42">
        <v>8</v>
      </c>
      <c r="AK55" s="42">
        <v>1</v>
      </c>
      <c r="AL55" s="42">
        <v>2</v>
      </c>
      <c r="AM55" s="42">
        <v>0</v>
      </c>
      <c r="AN55" s="41">
        <v>14</v>
      </c>
      <c r="AO55" s="42">
        <v>0</v>
      </c>
      <c r="AP55" s="42">
        <v>4</v>
      </c>
      <c r="AQ55" s="43">
        <f>SUM(W55:AP55)</f>
        <v>846</v>
      </c>
    </row>
    <row r="56" spans="1:43" ht="18.899999999999999" customHeight="1">
      <c r="A56" s="44" t="s">
        <v>77</v>
      </c>
      <c r="B56" s="45">
        <v>601</v>
      </c>
      <c r="C56" s="46">
        <v>125</v>
      </c>
      <c r="D56" s="46">
        <v>0</v>
      </c>
      <c r="E56" s="46">
        <v>57</v>
      </c>
      <c r="F56" s="46">
        <v>7</v>
      </c>
      <c r="G56" s="46">
        <v>57</v>
      </c>
      <c r="H56" s="46">
        <v>0</v>
      </c>
      <c r="I56" s="46">
        <v>0</v>
      </c>
      <c r="J56" s="46">
        <v>10</v>
      </c>
      <c r="K56" s="47">
        <v>0</v>
      </c>
      <c r="L56" s="47">
        <v>0</v>
      </c>
      <c r="M56" s="47">
        <v>0</v>
      </c>
      <c r="N56" s="47">
        <v>8</v>
      </c>
      <c r="O56" s="47">
        <v>11</v>
      </c>
      <c r="P56" s="47">
        <v>1</v>
      </c>
      <c r="Q56" s="47">
        <v>1</v>
      </c>
      <c r="R56" s="47">
        <v>0</v>
      </c>
      <c r="S56" s="46">
        <v>14</v>
      </c>
      <c r="T56" s="47">
        <v>1</v>
      </c>
      <c r="U56" s="47">
        <v>12</v>
      </c>
      <c r="V56" s="48">
        <f t="shared" si="15"/>
        <v>905</v>
      </c>
      <c r="W56" s="45">
        <v>618</v>
      </c>
      <c r="X56" s="46">
        <v>71</v>
      </c>
      <c r="Y56" s="46">
        <v>7</v>
      </c>
      <c r="Z56" s="46">
        <v>35</v>
      </c>
      <c r="AA56" s="46">
        <v>7</v>
      </c>
      <c r="AB56" s="46">
        <v>61</v>
      </c>
      <c r="AC56" s="46">
        <v>1</v>
      </c>
      <c r="AD56" s="46">
        <v>0</v>
      </c>
      <c r="AE56" s="46">
        <v>4</v>
      </c>
      <c r="AF56" s="47">
        <v>0</v>
      </c>
      <c r="AG56" s="47">
        <v>0</v>
      </c>
      <c r="AH56" s="47">
        <v>0</v>
      </c>
      <c r="AI56" s="47">
        <v>11</v>
      </c>
      <c r="AJ56" s="47">
        <v>10</v>
      </c>
      <c r="AK56" s="47">
        <v>2</v>
      </c>
      <c r="AL56" s="47">
        <v>4</v>
      </c>
      <c r="AM56" s="47">
        <v>0</v>
      </c>
      <c r="AN56" s="46">
        <v>18</v>
      </c>
      <c r="AO56" s="47">
        <v>0</v>
      </c>
      <c r="AP56" s="47">
        <v>5</v>
      </c>
      <c r="AQ56" s="48">
        <f>SUM(W56:AP56)</f>
        <v>854</v>
      </c>
    </row>
    <row r="57" spans="1:43" ht="18.899999999999999" customHeight="1">
      <c r="A57" s="44" t="s">
        <v>78</v>
      </c>
      <c r="B57" s="45">
        <v>612</v>
      </c>
      <c r="C57" s="46">
        <v>113</v>
      </c>
      <c r="D57" s="46">
        <v>1</v>
      </c>
      <c r="E57" s="46">
        <v>38</v>
      </c>
      <c r="F57" s="46">
        <v>5</v>
      </c>
      <c r="G57" s="46">
        <v>50</v>
      </c>
      <c r="H57" s="46">
        <v>1</v>
      </c>
      <c r="I57" s="46">
        <v>0</v>
      </c>
      <c r="J57" s="46">
        <v>12</v>
      </c>
      <c r="K57" s="47">
        <v>0</v>
      </c>
      <c r="L57" s="47">
        <v>0</v>
      </c>
      <c r="M57" s="47">
        <v>0</v>
      </c>
      <c r="N57" s="47">
        <v>5</v>
      </c>
      <c r="O57" s="47">
        <v>11</v>
      </c>
      <c r="P57" s="47">
        <v>3</v>
      </c>
      <c r="Q57" s="47">
        <v>1</v>
      </c>
      <c r="R57" s="47">
        <v>0</v>
      </c>
      <c r="S57" s="46">
        <v>10</v>
      </c>
      <c r="T57" s="47">
        <v>0</v>
      </c>
      <c r="U57" s="47">
        <v>6</v>
      </c>
      <c r="V57" s="48">
        <f t="shared" si="15"/>
        <v>868</v>
      </c>
      <c r="W57" s="45">
        <v>629</v>
      </c>
      <c r="X57" s="46">
        <v>85</v>
      </c>
      <c r="Y57" s="46">
        <v>8</v>
      </c>
      <c r="Z57" s="46">
        <v>28</v>
      </c>
      <c r="AA57" s="46">
        <v>6</v>
      </c>
      <c r="AB57" s="46">
        <v>54</v>
      </c>
      <c r="AC57" s="46">
        <v>1</v>
      </c>
      <c r="AD57" s="46">
        <v>0</v>
      </c>
      <c r="AE57" s="46">
        <v>5</v>
      </c>
      <c r="AF57" s="47">
        <v>0</v>
      </c>
      <c r="AG57" s="47">
        <v>0</v>
      </c>
      <c r="AH57" s="47">
        <v>0</v>
      </c>
      <c r="AI57" s="47">
        <v>17</v>
      </c>
      <c r="AJ57" s="47">
        <v>15</v>
      </c>
      <c r="AK57" s="47">
        <v>1</v>
      </c>
      <c r="AL57" s="47">
        <v>2</v>
      </c>
      <c r="AM57" s="47">
        <v>0</v>
      </c>
      <c r="AN57" s="46">
        <v>12</v>
      </c>
      <c r="AO57" s="47">
        <v>0</v>
      </c>
      <c r="AP57" s="47">
        <v>1</v>
      </c>
      <c r="AQ57" s="48">
        <f>SUM(W57:AP57)</f>
        <v>864</v>
      </c>
    </row>
    <row r="58" spans="1:43" ht="18.899999999999999" customHeight="1" thickBot="1">
      <c r="A58" s="49" t="s">
        <v>79</v>
      </c>
      <c r="B58" s="45">
        <v>598</v>
      </c>
      <c r="C58" s="46">
        <v>108</v>
      </c>
      <c r="D58" s="46">
        <v>1</v>
      </c>
      <c r="E58" s="46">
        <v>28</v>
      </c>
      <c r="F58" s="46">
        <v>2</v>
      </c>
      <c r="G58" s="46">
        <v>71</v>
      </c>
      <c r="H58" s="46">
        <v>0</v>
      </c>
      <c r="I58" s="46">
        <v>0</v>
      </c>
      <c r="J58" s="46">
        <v>12</v>
      </c>
      <c r="K58" s="47">
        <v>0</v>
      </c>
      <c r="L58" s="47">
        <v>0</v>
      </c>
      <c r="M58" s="47">
        <v>0</v>
      </c>
      <c r="N58" s="47">
        <v>12</v>
      </c>
      <c r="O58" s="47">
        <v>13</v>
      </c>
      <c r="P58" s="47">
        <v>1</v>
      </c>
      <c r="Q58" s="47">
        <v>0</v>
      </c>
      <c r="R58" s="47">
        <v>0</v>
      </c>
      <c r="S58" s="46">
        <v>12</v>
      </c>
      <c r="T58" s="47">
        <v>0</v>
      </c>
      <c r="U58" s="47">
        <v>8</v>
      </c>
      <c r="V58" s="48">
        <f t="shared" si="15"/>
        <v>866</v>
      </c>
      <c r="W58" s="45">
        <v>636</v>
      </c>
      <c r="X58" s="46">
        <v>101</v>
      </c>
      <c r="Y58" s="46">
        <v>4</v>
      </c>
      <c r="Z58" s="46">
        <v>48</v>
      </c>
      <c r="AA58" s="46">
        <v>17</v>
      </c>
      <c r="AB58" s="46">
        <v>73</v>
      </c>
      <c r="AC58" s="46">
        <v>1</v>
      </c>
      <c r="AD58" s="46">
        <v>0</v>
      </c>
      <c r="AE58" s="46">
        <v>2</v>
      </c>
      <c r="AF58" s="47">
        <v>0</v>
      </c>
      <c r="AG58" s="47">
        <v>0</v>
      </c>
      <c r="AH58" s="47">
        <v>0</v>
      </c>
      <c r="AI58" s="47">
        <v>13</v>
      </c>
      <c r="AJ58" s="47">
        <v>12</v>
      </c>
      <c r="AK58" s="47">
        <v>1</v>
      </c>
      <c r="AL58" s="47">
        <v>1</v>
      </c>
      <c r="AM58" s="47">
        <v>0</v>
      </c>
      <c r="AN58" s="46">
        <v>19</v>
      </c>
      <c r="AO58" s="47">
        <v>0</v>
      </c>
      <c r="AP58" s="47">
        <v>1</v>
      </c>
      <c r="AQ58" s="48">
        <f>SUM(W58:AP58)</f>
        <v>929</v>
      </c>
    </row>
    <row r="59" spans="1:43" ht="18.899999999999999" customHeight="1" thickBot="1">
      <c r="A59" s="50" t="s">
        <v>47</v>
      </c>
      <c r="B59" s="51">
        <f t="shared" ref="B59:AQ59" si="16">SUM(B55:B58)</f>
        <v>2427</v>
      </c>
      <c r="C59" s="52">
        <f t="shared" si="16"/>
        <v>466</v>
      </c>
      <c r="D59" s="52">
        <f t="shared" si="16"/>
        <v>7</v>
      </c>
      <c r="E59" s="52">
        <f t="shared" si="16"/>
        <v>158</v>
      </c>
      <c r="F59" s="52">
        <f t="shared" si="16"/>
        <v>21</v>
      </c>
      <c r="G59" s="52">
        <f t="shared" si="16"/>
        <v>245</v>
      </c>
      <c r="H59" s="52">
        <f t="shared" si="16"/>
        <v>3</v>
      </c>
      <c r="I59" s="52">
        <f t="shared" si="16"/>
        <v>0</v>
      </c>
      <c r="J59" s="52">
        <f t="shared" si="16"/>
        <v>40</v>
      </c>
      <c r="K59" s="53">
        <f t="shared" si="16"/>
        <v>0</v>
      </c>
      <c r="L59" s="53">
        <f t="shared" si="16"/>
        <v>0</v>
      </c>
      <c r="M59" s="53">
        <f t="shared" si="16"/>
        <v>0</v>
      </c>
      <c r="N59" s="53">
        <f t="shared" si="16"/>
        <v>31</v>
      </c>
      <c r="O59" s="53">
        <f t="shared" si="16"/>
        <v>47</v>
      </c>
      <c r="P59" s="53">
        <f t="shared" si="16"/>
        <v>6</v>
      </c>
      <c r="Q59" s="53">
        <f t="shared" si="16"/>
        <v>2</v>
      </c>
      <c r="R59" s="53">
        <f t="shared" si="16"/>
        <v>0</v>
      </c>
      <c r="S59" s="52">
        <f t="shared" si="16"/>
        <v>48</v>
      </c>
      <c r="T59" s="53">
        <f t="shared" si="16"/>
        <v>1</v>
      </c>
      <c r="U59" s="53">
        <f t="shared" si="16"/>
        <v>40</v>
      </c>
      <c r="V59" s="54">
        <f t="shared" si="16"/>
        <v>3542</v>
      </c>
      <c r="W59" s="51">
        <f t="shared" si="16"/>
        <v>2508</v>
      </c>
      <c r="X59" s="52">
        <f t="shared" si="16"/>
        <v>321</v>
      </c>
      <c r="Y59" s="52">
        <f t="shared" si="16"/>
        <v>24</v>
      </c>
      <c r="Z59" s="52">
        <f t="shared" si="16"/>
        <v>145</v>
      </c>
      <c r="AA59" s="52">
        <f t="shared" si="16"/>
        <v>43</v>
      </c>
      <c r="AB59" s="52">
        <f t="shared" si="16"/>
        <v>249</v>
      </c>
      <c r="AC59" s="52">
        <f t="shared" si="16"/>
        <v>4</v>
      </c>
      <c r="AD59" s="52">
        <f t="shared" si="16"/>
        <v>0</v>
      </c>
      <c r="AE59" s="52">
        <f t="shared" si="16"/>
        <v>17</v>
      </c>
      <c r="AF59" s="53">
        <f t="shared" si="16"/>
        <v>0</v>
      </c>
      <c r="AG59" s="53">
        <f t="shared" si="16"/>
        <v>0</v>
      </c>
      <c r="AH59" s="53">
        <f t="shared" si="16"/>
        <v>0</v>
      </c>
      <c r="AI59" s="53">
        <f t="shared" si="16"/>
        <v>49</v>
      </c>
      <c r="AJ59" s="53">
        <f t="shared" si="16"/>
        <v>45</v>
      </c>
      <c r="AK59" s="53">
        <f t="shared" si="16"/>
        <v>5</v>
      </c>
      <c r="AL59" s="53">
        <f t="shared" si="16"/>
        <v>9</v>
      </c>
      <c r="AM59" s="53">
        <f t="shared" si="16"/>
        <v>0</v>
      </c>
      <c r="AN59" s="52">
        <f t="shared" si="16"/>
        <v>63</v>
      </c>
      <c r="AO59" s="53">
        <f t="shared" si="16"/>
        <v>0</v>
      </c>
      <c r="AP59" s="53">
        <f t="shared" si="16"/>
        <v>11</v>
      </c>
      <c r="AQ59" s="54">
        <f t="shared" si="16"/>
        <v>3493</v>
      </c>
    </row>
    <row r="60" spans="1:43" ht="18.899999999999999" customHeight="1">
      <c r="A60" s="39" t="s">
        <v>80</v>
      </c>
      <c r="B60" s="40">
        <v>591</v>
      </c>
      <c r="C60" s="41">
        <v>98</v>
      </c>
      <c r="D60" s="41">
        <v>0</v>
      </c>
      <c r="E60" s="41">
        <v>47</v>
      </c>
      <c r="F60" s="41">
        <v>5</v>
      </c>
      <c r="G60" s="41">
        <v>65</v>
      </c>
      <c r="H60" s="41">
        <v>1</v>
      </c>
      <c r="I60" s="41">
        <v>0</v>
      </c>
      <c r="J60" s="41">
        <v>9</v>
      </c>
      <c r="K60" s="42">
        <v>0</v>
      </c>
      <c r="L60" s="42">
        <v>0</v>
      </c>
      <c r="M60" s="42">
        <v>0</v>
      </c>
      <c r="N60" s="42">
        <v>7</v>
      </c>
      <c r="O60" s="42">
        <v>8</v>
      </c>
      <c r="P60" s="42">
        <v>1</v>
      </c>
      <c r="Q60" s="42">
        <v>1</v>
      </c>
      <c r="R60" s="42">
        <v>0</v>
      </c>
      <c r="S60" s="41">
        <v>5</v>
      </c>
      <c r="T60" s="42">
        <v>0</v>
      </c>
      <c r="U60" s="42">
        <v>12</v>
      </c>
      <c r="V60" s="43">
        <f t="shared" ref="V60:V63" si="17">SUM(B60:U60)</f>
        <v>850</v>
      </c>
      <c r="W60" s="40">
        <v>630</v>
      </c>
      <c r="X60" s="41">
        <v>120</v>
      </c>
      <c r="Y60" s="41">
        <v>9</v>
      </c>
      <c r="Z60" s="41">
        <v>36</v>
      </c>
      <c r="AA60" s="41">
        <v>6</v>
      </c>
      <c r="AB60" s="41">
        <v>66</v>
      </c>
      <c r="AC60" s="41">
        <v>1</v>
      </c>
      <c r="AD60" s="41">
        <v>0</v>
      </c>
      <c r="AE60" s="41">
        <v>7</v>
      </c>
      <c r="AF60" s="42">
        <v>0</v>
      </c>
      <c r="AG60" s="42">
        <v>0</v>
      </c>
      <c r="AH60" s="42">
        <v>0</v>
      </c>
      <c r="AI60" s="42">
        <v>14</v>
      </c>
      <c r="AJ60" s="42">
        <v>17</v>
      </c>
      <c r="AK60" s="42">
        <v>1</v>
      </c>
      <c r="AL60" s="42">
        <v>2</v>
      </c>
      <c r="AM60" s="42">
        <v>0</v>
      </c>
      <c r="AN60" s="41">
        <v>14</v>
      </c>
      <c r="AO60" s="42">
        <v>0</v>
      </c>
      <c r="AP60" s="42">
        <v>7</v>
      </c>
      <c r="AQ60" s="43">
        <f>SUM(W60:AP60)</f>
        <v>930</v>
      </c>
    </row>
    <row r="61" spans="1:43" ht="18.899999999999999" customHeight="1">
      <c r="A61" s="44" t="s">
        <v>81</v>
      </c>
      <c r="B61" s="45">
        <v>585</v>
      </c>
      <c r="C61" s="46">
        <v>95</v>
      </c>
      <c r="D61" s="46">
        <v>2</v>
      </c>
      <c r="E61" s="46">
        <v>32</v>
      </c>
      <c r="F61" s="46">
        <v>10</v>
      </c>
      <c r="G61" s="46">
        <v>57</v>
      </c>
      <c r="H61" s="46">
        <v>0</v>
      </c>
      <c r="I61" s="46">
        <v>0</v>
      </c>
      <c r="J61" s="46">
        <v>5</v>
      </c>
      <c r="K61" s="47">
        <v>0</v>
      </c>
      <c r="L61" s="47">
        <v>0</v>
      </c>
      <c r="M61" s="47">
        <v>0</v>
      </c>
      <c r="N61" s="47">
        <v>8</v>
      </c>
      <c r="O61" s="47">
        <v>15</v>
      </c>
      <c r="P61" s="47">
        <v>2</v>
      </c>
      <c r="Q61" s="47">
        <v>1</v>
      </c>
      <c r="R61" s="47">
        <v>0</v>
      </c>
      <c r="S61" s="46">
        <v>10</v>
      </c>
      <c r="T61" s="47">
        <v>0</v>
      </c>
      <c r="U61" s="47">
        <v>15</v>
      </c>
      <c r="V61" s="48">
        <f t="shared" si="17"/>
        <v>837</v>
      </c>
      <c r="W61" s="45">
        <v>649</v>
      </c>
      <c r="X61" s="46">
        <v>105</v>
      </c>
      <c r="Y61" s="46">
        <v>4</v>
      </c>
      <c r="Z61" s="46">
        <v>40</v>
      </c>
      <c r="AA61" s="46">
        <v>12</v>
      </c>
      <c r="AB61" s="46">
        <v>70</v>
      </c>
      <c r="AC61" s="46">
        <v>0</v>
      </c>
      <c r="AD61" s="46">
        <v>0</v>
      </c>
      <c r="AE61" s="46">
        <v>8</v>
      </c>
      <c r="AF61" s="47">
        <v>0</v>
      </c>
      <c r="AG61" s="47">
        <v>0</v>
      </c>
      <c r="AH61" s="47">
        <v>0</v>
      </c>
      <c r="AI61" s="47">
        <v>17</v>
      </c>
      <c r="AJ61" s="47">
        <v>12</v>
      </c>
      <c r="AK61" s="47">
        <v>1</v>
      </c>
      <c r="AL61" s="47">
        <v>2</v>
      </c>
      <c r="AM61" s="47">
        <v>0</v>
      </c>
      <c r="AN61" s="46">
        <v>17</v>
      </c>
      <c r="AO61" s="47">
        <v>0</v>
      </c>
      <c r="AP61" s="47">
        <v>4</v>
      </c>
      <c r="AQ61" s="48">
        <f>SUM(W61:AP61)</f>
        <v>941</v>
      </c>
    </row>
    <row r="62" spans="1:43" ht="18.899999999999999" customHeight="1">
      <c r="A62" s="44" t="s">
        <v>82</v>
      </c>
      <c r="B62" s="45">
        <v>572</v>
      </c>
      <c r="C62" s="46">
        <v>96</v>
      </c>
      <c r="D62" s="46">
        <v>1</v>
      </c>
      <c r="E62" s="46">
        <v>29</v>
      </c>
      <c r="F62" s="46">
        <v>8</v>
      </c>
      <c r="G62" s="46">
        <v>48</v>
      </c>
      <c r="H62" s="46">
        <v>2</v>
      </c>
      <c r="I62" s="46">
        <v>0</v>
      </c>
      <c r="J62" s="46">
        <v>5</v>
      </c>
      <c r="K62" s="47">
        <v>0</v>
      </c>
      <c r="L62" s="47">
        <v>0</v>
      </c>
      <c r="M62" s="47">
        <v>0</v>
      </c>
      <c r="N62" s="47">
        <v>10</v>
      </c>
      <c r="O62" s="47">
        <v>17</v>
      </c>
      <c r="P62" s="47">
        <v>1</v>
      </c>
      <c r="Q62" s="47">
        <v>2</v>
      </c>
      <c r="R62" s="47">
        <v>0</v>
      </c>
      <c r="S62" s="46">
        <v>9</v>
      </c>
      <c r="T62" s="47">
        <v>0</v>
      </c>
      <c r="U62" s="47">
        <v>8</v>
      </c>
      <c r="V62" s="48">
        <f t="shared" si="17"/>
        <v>808</v>
      </c>
      <c r="W62" s="45">
        <v>651</v>
      </c>
      <c r="X62" s="46">
        <v>96</v>
      </c>
      <c r="Y62" s="46">
        <v>7</v>
      </c>
      <c r="Z62" s="46">
        <v>29</v>
      </c>
      <c r="AA62" s="46">
        <v>7</v>
      </c>
      <c r="AB62" s="46">
        <v>65</v>
      </c>
      <c r="AC62" s="46">
        <v>0</v>
      </c>
      <c r="AD62" s="46">
        <v>0</v>
      </c>
      <c r="AE62" s="46">
        <v>5</v>
      </c>
      <c r="AF62" s="47">
        <v>0</v>
      </c>
      <c r="AG62" s="47">
        <v>0</v>
      </c>
      <c r="AH62" s="47">
        <v>0</v>
      </c>
      <c r="AI62" s="47">
        <v>12</v>
      </c>
      <c r="AJ62" s="47">
        <v>17</v>
      </c>
      <c r="AK62" s="47">
        <v>1</v>
      </c>
      <c r="AL62" s="47">
        <v>1</v>
      </c>
      <c r="AM62" s="47">
        <v>0</v>
      </c>
      <c r="AN62" s="46">
        <v>12</v>
      </c>
      <c r="AO62" s="47">
        <v>0</v>
      </c>
      <c r="AP62" s="47">
        <v>2</v>
      </c>
      <c r="AQ62" s="48">
        <f>SUM(W62:AP62)</f>
        <v>905</v>
      </c>
    </row>
    <row r="63" spans="1:43" ht="18.899999999999999" customHeight="1" thickBot="1">
      <c r="A63" s="49" t="s">
        <v>83</v>
      </c>
      <c r="B63" s="45">
        <v>560</v>
      </c>
      <c r="C63" s="46">
        <v>94</v>
      </c>
      <c r="D63" s="46">
        <v>1</v>
      </c>
      <c r="E63" s="46">
        <v>44</v>
      </c>
      <c r="F63" s="46">
        <v>8</v>
      </c>
      <c r="G63" s="46">
        <v>66</v>
      </c>
      <c r="H63" s="46">
        <v>0</v>
      </c>
      <c r="I63" s="46">
        <v>0</v>
      </c>
      <c r="J63" s="46">
        <v>6</v>
      </c>
      <c r="K63" s="47">
        <v>0</v>
      </c>
      <c r="L63" s="47">
        <v>0</v>
      </c>
      <c r="M63" s="47">
        <v>0</v>
      </c>
      <c r="N63" s="47">
        <v>12</v>
      </c>
      <c r="O63" s="47">
        <v>18</v>
      </c>
      <c r="P63" s="47">
        <v>2</v>
      </c>
      <c r="Q63" s="47">
        <v>1</v>
      </c>
      <c r="R63" s="47">
        <v>0</v>
      </c>
      <c r="S63" s="46">
        <v>12</v>
      </c>
      <c r="T63" s="47">
        <v>0</v>
      </c>
      <c r="U63" s="47">
        <v>10</v>
      </c>
      <c r="V63" s="48">
        <f t="shared" si="17"/>
        <v>834</v>
      </c>
      <c r="W63" s="45">
        <v>669</v>
      </c>
      <c r="X63" s="46">
        <v>93</v>
      </c>
      <c r="Y63" s="46">
        <v>5</v>
      </c>
      <c r="Z63" s="46">
        <v>37</v>
      </c>
      <c r="AA63" s="46">
        <v>11</v>
      </c>
      <c r="AB63" s="46">
        <v>77</v>
      </c>
      <c r="AC63" s="46">
        <v>1</v>
      </c>
      <c r="AD63" s="46">
        <v>0</v>
      </c>
      <c r="AE63" s="46">
        <v>7</v>
      </c>
      <c r="AF63" s="47">
        <v>0</v>
      </c>
      <c r="AG63" s="47">
        <v>0</v>
      </c>
      <c r="AH63" s="47">
        <v>0</v>
      </c>
      <c r="AI63" s="47">
        <v>11</v>
      </c>
      <c r="AJ63" s="47">
        <v>10</v>
      </c>
      <c r="AK63" s="47">
        <v>2</v>
      </c>
      <c r="AL63" s="47">
        <v>1</v>
      </c>
      <c r="AM63" s="47">
        <v>0</v>
      </c>
      <c r="AN63" s="46">
        <v>15</v>
      </c>
      <c r="AO63" s="47">
        <v>0</v>
      </c>
      <c r="AP63" s="47">
        <v>7</v>
      </c>
      <c r="AQ63" s="48">
        <f>SUM(W63:AP63)</f>
        <v>946</v>
      </c>
    </row>
    <row r="64" spans="1:43" ht="18.899999999999999" customHeight="1" thickBot="1">
      <c r="A64" s="50" t="s">
        <v>47</v>
      </c>
      <c r="B64" s="51">
        <f t="shared" ref="B64:AQ64" si="18">SUM(B60:B63)</f>
        <v>2308</v>
      </c>
      <c r="C64" s="52">
        <f t="shared" si="18"/>
        <v>383</v>
      </c>
      <c r="D64" s="52">
        <f t="shared" si="18"/>
        <v>4</v>
      </c>
      <c r="E64" s="52">
        <f t="shared" si="18"/>
        <v>152</v>
      </c>
      <c r="F64" s="52">
        <f t="shared" si="18"/>
        <v>31</v>
      </c>
      <c r="G64" s="52">
        <f t="shared" si="18"/>
        <v>236</v>
      </c>
      <c r="H64" s="52">
        <f t="shared" si="18"/>
        <v>3</v>
      </c>
      <c r="I64" s="52">
        <f t="shared" si="18"/>
        <v>0</v>
      </c>
      <c r="J64" s="52">
        <f t="shared" si="18"/>
        <v>25</v>
      </c>
      <c r="K64" s="53">
        <f t="shared" si="18"/>
        <v>0</v>
      </c>
      <c r="L64" s="53">
        <f t="shared" si="18"/>
        <v>0</v>
      </c>
      <c r="M64" s="53">
        <f t="shared" si="18"/>
        <v>0</v>
      </c>
      <c r="N64" s="53">
        <f t="shared" si="18"/>
        <v>37</v>
      </c>
      <c r="O64" s="53">
        <f t="shared" si="18"/>
        <v>58</v>
      </c>
      <c r="P64" s="53">
        <f t="shared" si="18"/>
        <v>6</v>
      </c>
      <c r="Q64" s="53">
        <f t="shared" si="18"/>
        <v>5</v>
      </c>
      <c r="R64" s="53">
        <f t="shared" si="18"/>
        <v>0</v>
      </c>
      <c r="S64" s="52">
        <f t="shared" si="18"/>
        <v>36</v>
      </c>
      <c r="T64" s="53">
        <f t="shared" si="18"/>
        <v>0</v>
      </c>
      <c r="U64" s="53">
        <f t="shared" si="18"/>
        <v>45</v>
      </c>
      <c r="V64" s="54">
        <f t="shared" si="18"/>
        <v>3329</v>
      </c>
      <c r="W64" s="51">
        <f t="shared" si="18"/>
        <v>2599</v>
      </c>
      <c r="X64" s="52">
        <f t="shared" si="18"/>
        <v>414</v>
      </c>
      <c r="Y64" s="52">
        <f t="shared" si="18"/>
        <v>25</v>
      </c>
      <c r="Z64" s="52">
        <f t="shared" si="18"/>
        <v>142</v>
      </c>
      <c r="AA64" s="52">
        <f t="shared" si="18"/>
        <v>36</v>
      </c>
      <c r="AB64" s="52">
        <f t="shared" si="18"/>
        <v>278</v>
      </c>
      <c r="AC64" s="52">
        <f t="shared" si="18"/>
        <v>2</v>
      </c>
      <c r="AD64" s="52">
        <f t="shared" si="18"/>
        <v>0</v>
      </c>
      <c r="AE64" s="52">
        <f t="shared" si="18"/>
        <v>27</v>
      </c>
      <c r="AF64" s="53">
        <f t="shared" si="18"/>
        <v>0</v>
      </c>
      <c r="AG64" s="53">
        <f t="shared" si="18"/>
        <v>0</v>
      </c>
      <c r="AH64" s="53">
        <f t="shared" si="18"/>
        <v>0</v>
      </c>
      <c r="AI64" s="53">
        <f t="shared" si="18"/>
        <v>54</v>
      </c>
      <c r="AJ64" s="53">
        <f t="shared" si="18"/>
        <v>56</v>
      </c>
      <c r="AK64" s="53">
        <f t="shared" si="18"/>
        <v>5</v>
      </c>
      <c r="AL64" s="53">
        <f t="shared" si="18"/>
        <v>6</v>
      </c>
      <c r="AM64" s="53">
        <f t="shared" si="18"/>
        <v>0</v>
      </c>
      <c r="AN64" s="52">
        <f t="shared" si="18"/>
        <v>58</v>
      </c>
      <c r="AO64" s="53">
        <f t="shared" si="18"/>
        <v>0</v>
      </c>
      <c r="AP64" s="53">
        <f t="shared" si="18"/>
        <v>20</v>
      </c>
      <c r="AQ64" s="54">
        <f t="shared" si="18"/>
        <v>3722</v>
      </c>
    </row>
    <row r="65" spans="1:43" ht="18.899999999999999" customHeight="1">
      <c r="A65" s="57" t="s">
        <v>84</v>
      </c>
      <c r="B65" s="40">
        <v>566</v>
      </c>
      <c r="C65" s="41">
        <v>93</v>
      </c>
      <c r="D65" s="41">
        <v>3</v>
      </c>
      <c r="E65" s="41">
        <v>60</v>
      </c>
      <c r="F65" s="41">
        <v>7</v>
      </c>
      <c r="G65" s="41">
        <v>60</v>
      </c>
      <c r="H65" s="41">
        <v>0</v>
      </c>
      <c r="I65" s="41">
        <v>1</v>
      </c>
      <c r="J65" s="41">
        <v>9</v>
      </c>
      <c r="K65" s="42">
        <v>0</v>
      </c>
      <c r="L65" s="42">
        <v>1</v>
      </c>
      <c r="M65" s="42">
        <v>0</v>
      </c>
      <c r="N65" s="42">
        <v>8</v>
      </c>
      <c r="O65" s="42">
        <v>10</v>
      </c>
      <c r="P65" s="42">
        <v>2</v>
      </c>
      <c r="Q65" s="42">
        <v>3</v>
      </c>
      <c r="R65" s="42">
        <v>0</v>
      </c>
      <c r="S65" s="41">
        <v>14</v>
      </c>
      <c r="T65" s="42">
        <v>0</v>
      </c>
      <c r="U65" s="42">
        <v>8</v>
      </c>
      <c r="V65" s="43">
        <f t="shared" ref="V65:V68" si="19">SUM(B65:U65)</f>
        <v>845</v>
      </c>
      <c r="W65" s="40">
        <v>666</v>
      </c>
      <c r="X65" s="41">
        <v>92</v>
      </c>
      <c r="Y65" s="41">
        <v>9</v>
      </c>
      <c r="Z65" s="41">
        <v>34</v>
      </c>
      <c r="AA65" s="41">
        <v>10</v>
      </c>
      <c r="AB65" s="41">
        <v>78</v>
      </c>
      <c r="AC65" s="41">
        <v>1</v>
      </c>
      <c r="AD65" s="41">
        <v>0</v>
      </c>
      <c r="AE65" s="41">
        <v>11</v>
      </c>
      <c r="AF65" s="42">
        <v>0</v>
      </c>
      <c r="AG65" s="42">
        <v>0</v>
      </c>
      <c r="AH65" s="42">
        <v>0</v>
      </c>
      <c r="AI65" s="42">
        <v>12</v>
      </c>
      <c r="AJ65" s="42">
        <v>12</v>
      </c>
      <c r="AK65" s="42">
        <v>2</v>
      </c>
      <c r="AL65" s="42">
        <v>2</v>
      </c>
      <c r="AM65" s="42">
        <v>0</v>
      </c>
      <c r="AN65" s="41">
        <v>15</v>
      </c>
      <c r="AO65" s="42">
        <v>0</v>
      </c>
      <c r="AP65" s="42">
        <v>6</v>
      </c>
      <c r="AQ65" s="43">
        <f>SUM(W65:AP65)</f>
        <v>950</v>
      </c>
    </row>
    <row r="66" spans="1:43" ht="18.899999999999999" customHeight="1">
      <c r="A66" s="44" t="s">
        <v>85</v>
      </c>
      <c r="B66" s="45">
        <v>545</v>
      </c>
      <c r="C66" s="46">
        <v>97</v>
      </c>
      <c r="D66" s="46">
        <v>1</v>
      </c>
      <c r="E66" s="46">
        <v>34</v>
      </c>
      <c r="F66" s="46">
        <v>2</v>
      </c>
      <c r="G66" s="46">
        <v>76</v>
      </c>
      <c r="H66" s="46">
        <v>0</v>
      </c>
      <c r="I66" s="46">
        <v>0</v>
      </c>
      <c r="J66" s="46">
        <v>5</v>
      </c>
      <c r="K66" s="47">
        <v>0</v>
      </c>
      <c r="L66" s="47">
        <v>0</v>
      </c>
      <c r="M66" s="47">
        <v>0</v>
      </c>
      <c r="N66" s="47">
        <v>4</v>
      </c>
      <c r="O66" s="47">
        <v>12</v>
      </c>
      <c r="P66" s="47">
        <v>1</v>
      </c>
      <c r="Q66" s="47">
        <v>1</v>
      </c>
      <c r="R66" s="47">
        <v>0</v>
      </c>
      <c r="S66" s="46">
        <v>12</v>
      </c>
      <c r="T66" s="47">
        <v>0</v>
      </c>
      <c r="U66" s="47">
        <v>10</v>
      </c>
      <c r="V66" s="48">
        <f t="shared" si="19"/>
        <v>800</v>
      </c>
      <c r="W66" s="45">
        <v>603</v>
      </c>
      <c r="X66" s="46">
        <v>96</v>
      </c>
      <c r="Y66" s="46">
        <v>7</v>
      </c>
      <c r="Z66" s="46">
        <v>40</v>
      </c>
      <c r="AA66" s="46">
        <v>5</v>
      </c>
      <c r="AB66" s="46">
        <v>60</v>
      </c>
      <c r="AC66" s="46">
        <v>0</v>
      </c>
      <c r="AD66" s="46">
        <v>0</v>
      </c>
      <c r="AE66" s="46">
        <v>9</v>
      </c>
      <c r="AF66" s="47">
        <v>0</v>
      </c>
      <c r="AG66" s="47">
        <v>0</v>
      </c>
      <c r="AH66" s="47">
        <v>0</v>
      </c>
      <c r="AI66" s="47">
        <v>17</v>
      </c>
      <c r="AJ66" s="47">
        <v>15</v>
      </c>
      <c r="AK66" s="47">
        <v>1</v>
      </c>
      <c r="AL66" s="47">
        <v>4</v>
      </c>
      <c r="AM66" s="47">
        <v>0</v>
      </c>
      <c r="AN66" s="46">
        <v>11</v>
      </c>
      <c r="AO66" s="47">
        <v>0</v>
      </c>
      <c r="AP66" s="47">
        <v>2</v>
      </c>
      <c r="AQ66" s="48">
        <f>SUM(W66:AP66)</f>
        <v>870</v>
      </c>
    </row>
    <row r="67" spans="1:43" ht="18.899999999999999" customHeight="1">
      <c r="A67" s="44" t="s">
        <v>86</v>
      </c>
      <c r="B67" s="45">
        <v>535</v>
      </c>
      <c r="C67" s="46">
        <v>92</v>
      </c>
      <c r="D67" s="46">
        <v>0</v>
      </c>
      <c r="E67" s="46">
        <v>41</v>
      </c>
      <c r="F67" s="46">
        <v>9</v>
      </c>
      <c r="G67" s="46">
        <v>61</v>
      </c>
      <c r="H67" s="46">
        <v>0</v>
      </c>
      <c r="I67" s="46">
        <v>0</v>
      </c>
      <c r="J67" s="46">
        <v>8</v>
      </c>
      <c r="K67" s="47">
        <v>0</v>
      </c>
      <c r="L67" s="47">
        <v>0</v>
      </c>
      <c r="M67" s="47">
        <v>0</v>
      </c>
      <c r="N67" s="47">
        <v>2</v>
      </c>
      <c r="O67" s="47">
        <v>12</v>
      </c>
      <c r="P67" s="47">
        <v>1</v>
      </c>
      <c r="Q67" s="47">
        <v>2</v>
      </c>
      <c r="R67" s="47">
        <v>0</v>
      </c>
      <c r="S67" s="46">
        <v>10</v>
      </c>
      <c r="T67" s="47">
        <v>0</v>
      </c>
      <c r="U67" s="47">
        <v>9</v>
      </c>
      <c r="V67" s="48">
        <f t="shared" si="19"/>
        <v>782</v>
      </c>
      <c r="W67" s="45">
        <v>623</v>
      </c>
      <c r="X67" s="46">
        <v>102</v>
      </c>
      <c r="Y67" s="46">
        <v>2</v>
      </c>
      <c r="Z67" s="46">
        <v>32</v>
      </c>
      <c r="AA67" s="46">
        <v>11</v>
      </c>
      <c r="AB67" s="46">
        <v>56</v>
      </c>
      <c r="AC67" s="46">
        <v>0</v>
      </c>
      <c r="AD67" s="46">
        <v>0</v>
      </c>
      <c r="AE67" s="46">
        <v>4</v>
      </c>
      <c r="AF67" s="47">
        <v>0</v>
      </c>
      <c r="AG67" s="47">
        <v>0</v>
      </c>
      <c r="AH67" s="47">
        <v>0</v>
      </c>
      <c r="AI67" s="47">
        <v>11</v>
      </c>
      <c r="AJ67" s="47">
        <v>11</v>
      </c>
      <c r="AK67" s="47">
        <v>1</v>
      </c>
      <c r="AL67" s="47">
        <v>2</v>
      </c>
      <c r="AM67" s="47">
        <v>0</v>
      </c>
      <c r="AN67" s="46">
        <v>8</v>
      </c>
      <c r="AO67" s="47">
        <v>0</v>
      </c>
      <c r="AP67" s="47">
        <v>1</v>
      </c>
      <c r="AQ67" s="48">
        <f>SUM(W67:AP67)</f>
        <v>864</v>
      </c>
    </row>
    <row r="68" spans="1:43" ht="18.899999999999999" customHeight="1" thickBot="1">
      <c r="A68" s="49" t="s">
        <v>87</v>
      </c>
      <c r="B68" s="45">
        <v>515</v>
      </c>
      <c r="C68" s="46">
        <v>100</v>
      </c>
      <c r="D68" s="46">
        <v>1</v>
      </c>
      <c r="E68" s="46">
        <v>28</v>
      </c>
      <c r="F68" s="46">
        <v>3</v>
      </c>
      <c r="G68" s="46">
        <v>65</v>
      </c>
      <c r="H68" s="46">
        <v>0</v>
      </c>
      <c r="I68" s="46">
        <v>0</v>
      </c>
      <c r="J68" s="46">
        <v>4</v>
      </c>
      <c r="K68" s="47">
        <v>0</v>
      </c>
      <c r="L68" s="47">
        <v>0</v>
      </c>
      <c r="M68" s="47">
        <v>0</v>
      </c>
      <c r="N68" s="47">
        <v>5</v>
      </c>
      <c r="O68" s="47">
        <v>13</v>
      </c>
      <c r="P68" s="47">
        <v>2</v>
      </c>
      <c r="Q68" s="47">
        <v>3</v>
      </c>
      <c r="R68" s="47">
        <v>0</v>
      </c>
      <c r="S68" s="46">
        <v>13</v>
      </c>
      <c r="T68" s="47">
        <v>0</v>
      </c>
      <c r="U68" s="47">
        <v>8</v>
      </c>
      <c r="V68" s="48">
        <f t="shared" si="19"/>
        <v>760</v>
      </c>
      <c r="W68" s="45">
        <v>639</v>
      </c>
      <c r="X68" s="46">
        <v>109</v>
      </c>
      <c r="Y68" s="46">
        <v>7</v>
      </c>
      <c r="Z68" s="46">
        <v>44</v>
      </c>
      <c r="AA68" s="46">
        <v>7</v>
      </c>
      <c r="AB68" s="46">
        <v>70</v>
      </c>
      <c r="AC68" s="46">
        <v>0</v>
      </c>
      <c r="AD68" s="46">
        <v>0</v>
      </c>
      <c r="AE68" s="46">
        <v>7</v>
      </c>
      <c r="AF68" s="47">
        <v>0</v>
      </c>
      <c r="AG68" s="47">
        <v>0</v>
      </c>
      <c r="AH68" s="47">
        <v>0</v>
      </c>
      <c r="AI68" s="47">
        <v>10</v>
      </c>
      <c r="AJ68" s="47">
        <v>4</v>
      </c>
      <c r="AK68" s="47">
        <v>1</v>
      </c>
      <c r="AL68" s="47">
        <v>1</v>
      </c>
      <c r="AM68" s="47">
        <v>0</v>
      </c>
      <c r="AN68" s="46">
        <v>5</v>
      </c>
      <c r="AO68" s="47">
        <v>0</v>
      </c>
      <c r="AP68" s="47">
        <v>1</v>
      </c>
      <c r="AQ68" s="48">
        <f>SUM(W68:AP68)</f>
        <v>905</v>
      </c>
    </row>
    <row r="69" spans="1:43" ht="18.899999999999999" customHeight="1" thickBot="1">
      <c r="A69" s="50" t="s">
        <v>47</v>
      </c>
      <c r="B69" s="51">
        <f t="shared" ref="B69:AQ69" si="20">SUM(B65:B68)</f>
        <v>2161</v>
      </c>
      <c r="C69" s="52">
        <f t="shared" si="20"/>
        <v>382</v>
      </c>
      <c r="D69" s="52">
        <f t="shared" si="20"/>
        <v>5</v>
      </c>
      <c r="E69" s="52">
        <f t="shared" si="20"/>
        <v>163</v>
      </c>
      <c r="F69" s="52">
        <f t="shared" si="20"/>
        <v>21</v>
      </c>
      <c r="G69" s="52">
        <f t="shared" si="20"/>
        <v>262</v>
      </c>
      <c r="H69" s="52">
        <f t="shared" si="20"/>
        <v>0</v>
      </c>
      <c r="I69" s="52">
        <f t="shared" si="20"/>
        <v>1</v>
      </c>
      <c r="J69" s="52">
        <f t="shared" si="20"/>
        <v>26</v>
      </c>
      <c r="K69" s="53">
        <f t="shared" si="20"/>
        <v>0</v>
      </c>
      <c r="L69" s="53">
        <f t="shared" si="20"/>
        <v>1</v>
      </c>
      <c r="M69" s="53">
        <f t="shared" si="20"/>
        <v>0</v>
      </c>
      <c r="N69" s="53">
        <f t="shared" si="20"/>
        <v>19</v>
      </c>
      <c r="O69" s="53">
        <f t="shared" si="20"/>
        <v>47</v>
      </c>
      <c r="P69" s="53">
        <f t="shared" si="20"/>
        <v>6</v>
      </c>
      <c r="Q69" s="53">
        <f t="shared" si="20"/>
        <v>9</v>
      </c>
      <c r="R69" s="53">
        <f t="shared" si="20"/>
        <v>0</v>
      </c>
      <c r="S69" s="52">
        <f t="shared" si="20"/>
        <v>49</v>
      </c>
      <c r="T69" s="53">
        <f t="shared" si="20"/>
        <v>0</v>
      </c>
      <c r="U69" s="53">
        <f t="shared" si="20"/>
        <v>35</v>
      </c>
      <c r="V69" s="54">
        <f t="shared" si="20"/>
        <v>3187</v>
      </c>
      <c r="W69" s="51">
        <f t="shared" si="20"/>
        <v>2531</v>
      </c>
      <c r="X69" s="52">
        <f t="shared" si="20"/>
        <v>399</v>
      </c>
      <c r="Y69" s="52">
        <f t="shared" si="20"/>
        <v>25</v>
      </c>
      <c r="Z69" s="52">
        <f t="shared" si="20"/>
        <v>150</v>
      </c>
      <c r="AA69" s="52">
        <f t="shared" si="20"/>
        <v>33</v>
      </c>
      <c r="AB69" s="52">
        <f t="shared" si="20"/>
        <v>264</v>
      </c>
      <c r="AC69" s="52">
        <f t="shared" si="20"/>
        <v>1</v>
      </c>
      <c r="AD69" s="52">
        <f t="shared" si="20"/>
        <v>0</v>
      </c>
      <c r="AE69" s="52">
        <f t="shared" si="20"/>
        <v>31</v>
      </c>
      <c r="AF69" s="53">
        <f t="shared" si="20"/>
        <v>0</v>
      </c>
      <c r="AG69" s="53">
        <f t="shared" si="20"/>
        <v>0</v>
      </c>
      <c r="AH69" s="53">
        <f t="shared" si="20"/>
        <v>0</v>
      </c>
      <c r="AI69" s="53">
        <f t="shared" si="20"/>
        <v>50</v>
      </c>
      <c r="AJ69" s="53">
        <f t="shared" si="20"/>
        <v>42</v>
      </c>
      <c r="AK69" s="53">
        <f t="shared" si="20"/>
        <v>5</v>
      </c>
      <c r="AL69" s="53">
        <f t="shared" si="20"/>
        <v>9</v>
      </c>
      <c r="AM69" s="53">
        <f t="shared" si="20"/>
        <v>0</v>
      </c>
      <c r="AN69" s="52">
        <f t="shared" si="20"/>
        <v>39</v>
      </c>
      <c r="AO69" s="53">
        <f t="shared" si="20"/>
        <v>0</v>
      </c>
      <c r="AP69" s="53">
        <f t="shared" si="20"/>
        <v>10</v>
      </c>
      <c r="AQ69" s="54">
        <f t="shared" si="20"/>
        <v>3589</v>
      </c>
    </row>
    <row r="70" spans="1:43" ht="18.899999999999999" customHeight="1">
      <c r="A70" s="57" t="s">
        <v>88</v>
      </c>
      <c r="B70" s="40">
        <v>488</v>
      </c>
      <c r="C70" s="41">
        <v>102</v>
      </c>
      <c r="D70" s="41">
        <v>0</v>
      </c>
      <c r="E70" s="41">
        <v>41</v>
      </c>
      <c r="F70" s="41">
        <v>7</v>
      </c>
      <c r="G70" s="41">
        <v>65</v>
      </c>
      <c r="H70" s="41">
        <v>1</v>
      </c>
      <c r="I70" s="41">
        <v>0</v>
      </c>
      <c r="J70" s="41">
        <v>4</v>
      </c>
      <c r="K70" s="42">
        <v>0</v>
      </c>
      <c r="L70" s="42">
        <v>1</v>
      </c>
      <c r="M70" s="42">
        <v>0</v>
      </c>
      <c r="N70" s="42">
        <v>9</v>
      </c>
      <c r="O70" s="42">
        <v>14</v>
      </c>
      <c r="P70" s="42">
        <v>1</v>
      </c>
      <c r="Q70" s="42">
        <v>1</v>
      </c>
      <c r="R70" s="42">
        <v>0</v>
      </c>
      <c r="S70" s="41">
        <v>17</v>
      </c>
      <c r="T70" s="42">
        <v>0</v>
      </c>
      <c r="U70" s="42">
        <v>5</v>
      </c>
      <c r="V70" s="43">
        <f t="shared" ref="V70:V73" si="21">SUM(B70:U70)</f>
        <v>756</v>
      </c>
      <c r="W70" s="40">
        <v>649</v>
      </c>
      <c r="X70" s="41">
        <v>107</v>
      </c>
      <c r="Y70" s="41">
        <v>6</v>
      </c>
      <c r="Z70" s="41">
        <v>25</v>
      </c>
      <c r="AA70" s="41">
        <v>10</v>
      </c>
      <c r="AB70" s="41">
        <v>73</v>
      </c>
      <c r="AC70" s="41">
        <v>0</v>
      </c>
      <c r="AD70" s="41">
        <v>0</v>
      </c>
      <c r="AE70" s="41">
        <v>6</v>
      </c>
      <c r="AF70" s="42">
        <v>0</v>
      </c>
      <c r="AG70" s="42">
        <v>0</v>
      </c>
      <c r="AH70" s="42">
        <v>0</v>
      </c>
      <c r="AI70" s="42">
        <v>7</v>
      </c>
      <c r="AJ70" s="42">
        <v>9</v>
      </c>
      <c r="AK70" s="42">
        <v>0</v>
      </c>
      <c r="AL70" s="42">
        <v>1</v>
      </c>
      <c r="AM70" s="42">
        <v>0</v>
      </c>
      <c r="AN70" s="41">
        <v>9</v>
      </c>
      <c r="AO70" s="42">
        <v>0</v>
      </c>
      <c r="AP70" s="42">
        <v>4</v>
      </c>
      <c r="AQ70" s="43">
        <f>SUM(W70:AP70)</f>
        <v>906</v>
      </c>
    </row>
    <row r="71" spans="1:43" ht="18.899999999999999" customHeight="1">
      <c r="A71" s="44" t="s">
        <v>89</v>
      </c>
      <c r="B71" s="45">
        <v>472</v>
      </c>
      <c r="C71" s="46">
        <v>100</v>
      </c>
      <c r="D71" s="46">
        <v>0</v>
      </c>
      <c r="E71" s="46">
        <v>16</v>
      </c>
      <c r="F71" s="46">
        <v>2</v>
      </c>
      <c r="G71" s="46">
        <v>56</v>
      </c>
      <c r="H71" s="46">
        <v>0</v>
      </c>
      <c r="I71" s="46">
        <v>0</v>
      </c>
      <c r="J71" s="46">
        <v>5</v>
      </c>
      <c r="K71" s="47">
        <v>0</v>
      </c>
      <c r="L71" s="47">
        <v>0</v>
      </c>
      <c r="M71" s="47">
        <v>0</v>
      </c>
      <c r="N71" s="47">
        <v>5</v>
      </c>
      <c r="O71" s="47">
        <v>12</v>
      </c>
      <c r="P71" s="47">
        <v>0</v>
      </c>
      <c r="Q71" s="47">
        <v>1</v>
      </c>
      <c r="R71" s="47">
        <v>0</v>
      </c>
      <c r="S71" s="46">
        <v>15</v>
      </c>
      <c r="T71" s="47">
        <v>0</v>
      </c>
      <c r="U71" s="47">
        <v>5</v>
      </c>
      <c r="V71" s="48">
        <f t="shared" si="21"/>
        <v>689</v>
      </c>
      <c r="W71" s="45">
        <v>635</v>
      </c>
      <c r="X71" s="46">
        <v>101</v>
      </c>
      <c r="Y71" s="46">
        <v>4</v>
      </c>
      <c r="Z71" s="46">
        <v>48</v>
      </c>
      <c r="AA71" s="46">
        <v>11</v>
      </c>
      <c r="AB71" s="46">
        <v>83</v>
      </c>
      <c r="AC71" s="46">
        <v>0</v>
      </c>
      <c r="AD71" s="46">
        <v>0</v>
      </c>
      <c r="AE71" s="46">
        <v>4</v>
      </c>
      <c r="AF71" s="47">
        <v>0</v>
      </c>
      <c r="AG71" s="47">
        <v>0</v>
      </c>
      <c r="AH71" s="47">
        <v>0</v>
      </c>
      <c r="AI71" s="47">
        <v>5</v>
      </c>
      <c r="AJ71" s="47">
        <v>4</v>
      </c>
      <c r="AK71" s="47">
        <v>1</v>
      </c>
      <c r="AL71" s="47">
        <v>1</v>
      </c>
      <c r="AM71" s="47">
        <v>0</v>
      </c>
      <c r="AN71" s="46">
        <v>11</v>
      </c>
      <c r="AO71" s="47">
        <v>0</v>
      </c>
      <c r="AP71" s="47">
        <v>7</v>
      </c>
      <c r="AQ71" s="48">
        <f>SUM(W71:AP71)</f>
        <v>915</v>
      </c>
    </row>
    <row r="72" spans="1:43" ht="18.899999999999999" customHeight="1">
      <c r="A72" s="44" t="s">
        <v>90</v>
      </c>
      <c r="B72" s="45">
        <v>455</v>
      </c>
      <c r="C72" s="46">
        <v>95</v>
      </c>
      <c r="D72" s="46">
        <v>0</v>
      </c>
      <c r="E72" s="46">
        <v>21</v>
      </c>
      <c r="F72" s="46">
        <v>6</v>
      </c>
      <c r="G72" s="46">
        <v>51</v>
      </c>
      <c r="H72" s="46">
        <v>0</v>
      </c>
      <c r="I72" s="46">
        <v>0</v>
      </c>
      <c r="J72" s="46">
        <v>7</v>
      </c>
      <c r="K72" s="47">
        <v>0</v>
      </c>
      <c r="L72" s="47">
        <v>0</v>
      </c>
      <c r="M72" s="47">
        <v>0</v>
      </c>
      <c r="N72" s="47">
        <v>4</v>
      </c>
      <c r="O72" s="47">
        <v>10</v>
      </c>
      <c r="P72" s="47">
        <v>1</v>
      </c>
      <c r="Q72" s="47">
        <v>0</v>
      </c>
      <c r="R72" s="47">
        <v>0</v>
      </c>
      <c r="S72" s="46">
        <v>13</v>
      </c>
      <c r="T72" s="47">
        <v>0</v>
      </c>
      <c r="U72" s="47">
        <v>4</v>
      </c>
      <c r="V72" s="48">
        <f t="shared" si="21"/>
        <v>667</v>
      </c>
      <c r="W72" s="45">
        <v>593</v>
      </c>
      <c r="X72" s="46">
        <v>96</v>
      </c>
      <c r="Y72" s="46">
        <v>2</v>
      </c>
      <c r="Z72" s="46">
        <v>39</v>
      </c>
      <c r="AA72" s="46">
        <v>16</v>
      </c>
      <c r="AB72" s="46">
        <v>77</v>
      </c>
      <c r="AC72" s="46">
        <v>0</v>
      </c>
      <c r="AD72" s="46">
        <v>0</v>
      </c>
      <c r="AE72" s="46">
        <v>2</v>
      </c>
      <c r="AF72" s="47">
        <v>0</v>
      </c>
      <c r="AG72" s="47">
        <v>0</v>
      </c>
      <c r="AH72" s="47">
        <v>0</v>
      </c>
      <c r="AI72" s="47">
        <v>7</v>
      </c>
      <c r="AJ72" s="47">
        <v>7</v>
      </c>
      <c r="AK72" s="47">
        <v>1</v>
      </c>
      <c r="AL72" s="47">
        <v>1</v>
      </c>
      <c r="AM72" s="47">
        <v>0</v>
      </c>
      <c r="AN72" s="46">
        <v>17</v>
      </c>
      <c r="AO72" s="47">
        <v>0</v>
      </c>
      <c r="AP72" s="47">
        <v>4</v>
      </c>
      <c r="AQ72" s="48">
        <f>SUM(W72:AP72)</f>
        <v>862</v>
      </c>
    </row>
    <row r="73" spans="1:43" ht="18.899999999999999" customHeight="1" thickBot="1">
      <c r="A73" s="49" t="s">
        <v>91</v>
      </c>
      <c r="B73" s="45">
        <v>462</v>
      </c>
      <c r="C73" s="46">
        <v>90</v>
      </c>
      <c r="D73" s="46">
        <v>0</v>
      </c>
      <c r="E73" s="46">
        <v>37</v>
      </c>
      <c r="F73" s="46">
        <v>6</v>
      </c>
      <c r="G73" s="46">
        <v>51</v>
      </c>
      <c r="H73" s="46">
        <v>0</v>
      </c>
      <c r="I73" s="46">
        <v>0</v>
      </c>
      <c r="J73" s="46">
        <v>8</v>
      </c>
      <c r="K73" s="47">
        <v>0</v>
      </c>
      <c r="L73" s="47">
        <v>0</v>
      </c>
      <c r="M73" s="47">
        <v>0</v>
      </c>
      <c r="N73" s="47">
        <v>5</v>
      </c>
      <c r="O73" s="47">
        <v>8</v>
      </c>
      <c r="P73" s="47">
        <v>1</v>
      </c>
      <c r="Q73" s="47">
        <v>1</v>
      </c>
      <c r="R73" s="47">
        <v>0</v>
      </c>
      <c r="S73" s="46">
        <v>10</v>
      </c>
      <c r="T73" s="47">
        <v>0</v>
      </c>
      <c r="U73" s="47">
        <v>8</v>
      </c>
      <c r="V73" s="48">
        <f t="shared" si="21"/>
        <v>687</v>
      </c>
      <c r="W73" s="45">
        <v>519</v>
      </c>
      <c r="X73" s="46">
        <v>81</v>
      </c>
      <c r="Y73" s="46">
        <v>5</v>
      </c>
      <c r="Z73" s="46">
        <v>47</v>
      </c>
      <c r="AA73" s="46">
        <v>10</v>
      </c>
      <c r="AB73" s="46">
        <v>73</v>
      </c>
      <c r="AC73" s="46">
        <v>0</v>
      </c>
      <c r="AD73" s="46">
        <v>0</v>
      </c>
      <c r="AE73" s="46">
        <v>1</v>
      </c>
      <c r="AF73" s="47">
        <v>0</v>
      </c>
      <c r="AG73" s="47">
        <v>0</v>
      </c>
      <c r="AH73" s="47">
        <v>0</v>
      </c>
      <c r="AI73" s="47">
        <v>2</v>
      </c>
      <c r="AJ73" s="47">
        <v>2</v>
      </c>
      <c r="AK73" s="47">
        <v>1</v>
      </c>
      <c r="AL73" s="47">
        <v>0</v>
      </c>
      <c r="AM73" s="47">
        <v>0</v>
      </c>
      <c r="AN73" s="46">
        <v>12</v>
      </c>
      <c r="AO73" s="47">
        <v>0</v>
      </c>
      <c r="AP73" s="47">
        <v>2</v>
      </c>
      <c r="AQ73" s="48">
        <f>SUM(W73:AP73)</f>
        <v>755</v>
      </c>
    </row>
    <row r="74" spans="1:43" ht="18.899999999999999" customHeight="1" thickBot="1">
      <c r="A74" s="50" t="s">
        <v>47</v>
      </c>
      <c r="B74" s="51">
        <f t="shared" ref="B74:AQ74" si="22">SUM(B70:B73)</f>
        <v>1877</v>
      </c>
      <c r="C74" s="52">
        <f t="shared" si="22"/>
        <v>387</v>
      </c>
      <c r="D74" s="52">
        <f t="shared" si="22"/>
        <v>0</v>
      </c>
      <c r="E74" s="52">
        <f t="shared" si="22"/>
        <v>115</v>
      </c>
      <c r="F74" s="52">
        <f t="shared" si="22"/>
        <v>21</v>
      </c>
      <c r="G74" s="52">
        <f t="shared" si="22"/>
        <v>223</v>
      </c>
      <c r="H74" s="52">
        <f t="shared" si="22"/>
        <v>1</v>
      </c>
      <c r="I74" s="52">
        <f t="shared" si="22"/>
        <v>0</v>
      </c>
      <c r="J74" s="52">
        <f t="shared" si="22"/>
        <v>24</v>
      </c>
      <c r="K74" s="53">
        <f t="shared" si="22"/>
        <v>0</v>
      </c>
      <c r="L74" s="53">
        <f t="shared" si="22"/>
        <v>1</v>
      </c>
      <c r="M74" s="53">
        <f t="shared" si="22"/>
        <v>0</v>
      </c>
      <c r="N74" s="53">
        <f t="shared" si="22"/>
        <v>23</v>
      </c>
      <c r="O74" s="53">
        <f t="shared" si="22"/>
        <v>44</v>
      </c>
      <c r="P74" s="53">
        <f t="shared" si="22"/>
        <v>3</v>
      </c>
      <c r="Q74" s="53">
        <f t="shared" si="22"/>
        <v>3</v>
      </c>
      <c r="R74" s="53">
        <f t="shared" si="22"/>
        <v>0</v>
      </c>
      <c r="S74" s="52">
        <f t="shared" si="22"/>
        <v>55</v>
      </c>
      <c r="T74" s="53">
        <f t="shared" si="22"/>
        <v>0</v>
      </c>
      <c r="U74" s="53">
        <f t="shared" si="22"/>
        <v>22</v>
      </c>
      <c r="V74" s="54">
        <f t="shared" si="22"/>
        <v>2799</v>
      </c>
      <c r="W74" s="51">
        <f t="shared" si="22"/>
        <v>2396</v>
      </c>
      <c r="X74" s="52">
        <f t="shared" si="22"/>
        <v>385</v>
      </c>
      <c r="Y74" s="52">
        <f t="shared" si="22"/>
        <v>17</v>
      </c>
      <c r="Z74" s="52">
        <f t="shared" si="22"/>
        <v>159</v>
      </c>
      <c r="AA74" s="52">
        <f t="shared" si="22"/>
        <v>47</v>
      </c>
      <c r="AB74" s="52">
        <f t="shared" si="22"/>
        <v>306</v>
      </c>
      <c r="AC74" s="52">
        <f t="shared" si="22"/>
        <v>0</v>
      </c>
      <c r="AD74" s="52">
        <f t="shared" si="22"/>
        <v>0</v>
      </c>
      <c r="AE74" s="52">
        <f t="shared" si="22"/>
        <v>13</v>
      </c>
      <c r="AF74" s="53">
        <f t="shared" si="22"/>
        <v>0</v>
      </c>
      <c r="AG74" s="53">
        <f t="shared" si="22"/>
        <v>0</v>
      </c>
      <c r="AH74" s="53">
        <f t="shared" si="22"/>
        <v>0</v>
      </c>
      <c r="AI74" s="53">
        <f t="shared" si="22"/>
        <v>21</v>
      </c>
      <c r="AJ74" s="53">
        <f t="shared" si="22"/>
        <v>22</v>
      </c>
      <c r="AK74" s="53">
        <f t="shared" si="22"/>
        <v>3</v>
      </c>
      <c r="AL74" s="53">
        <f t="shared" si="22"/>
        <v>3</v>
      </c>
      <c r="AM74" s="53">
        <f t="shared" si="22"/>
        <v>0</v>
      </c>
      <c r="AN74" s="52">
        <f t="shared" si="22"/>
        <v>49</v>
      </c>
      <c r="AO74" s="53">
        <f t="shared" si="22"/>
        <v>0</v>
      </c>
      <c r="AP74" s="53">
        <f t="shared" si="22"/>
        <v>17</v>
      </c>
      <c r="AQ74" s="54">
        <f t="shared" si="22"/>
        <v>3438</v>
      </c>
    </row>
    <row r="75" spans="1:43" ht="18.899999999999999" customHeight="1">
      <c r="A75" s="39" t="s">
        <v>92</v>
      </c>
      <c r="B75" s="40">
        <v>460</v>
      </c>
      <c r="C75" s="41">
        <v>81</v>
      </c>
      <c r="D75" s="41">
        <v>0</v>
      </c>
      <c r="E75" s="41">
        <v>34</v>
      </c>
      <c r="F75" s="41">
        <v>1</v>
      </c>
      <c r="G75" s="41">
        <v>60</v>
      </c>
      <c r="H75" s="41">
        <v>0</v>
      </c>
      <c r="I75" s="41">
        <v>0</v>
      </c>
      <c r="J75" s="41">
        <v>9</v>
      </c>
      <c r="K75" s="42">
        <v>0</v>
      </c>
      <c r="L75" s="42">
        <v>1</v>
      </c>
      <c r="M75" s="42">
        <v>0</v>
      </c>
      <c r="N75" s="42">
        <v>2</v>
      </c>
      <c r="O75" s="42">
        <v>6</v>
      </c>
      <c r="P75" s="42">
        <v>2</v>
      </c>
      <c r="Q75" s="42">
        <v>1</v>
      </c>
      <c r="R75" s="42">
        <v>0</v>
      </c>
      <c r="S75" s="41">
        <v>13</v>
      </c>
      <c r="T75" s="42">
        <v>0</v>
      </c>
      <c r="U75" s="42">
        <v>4</v>
      </c>
      <c r="V75" s="43">
        <f t="shared" ref="V75:V78" si="23">SUM(B75:U75)</f>
        <v>674</v>
      </c>
      <c r="W75" s="40">
        <v>524</v>
      </c>
      <c r="X75" s="41">
        <v>88</v>
      </c>
      <c r="Y75" s="41">
        <v>1</v>
      </c>
      <c r="Z75" s="41">
        <v>37</v>
      </c>
      <c r="AA75" s="41">
        <v>12</v>
      </c>
      <c r="AB75" s="41">
        <v>66</v>
      </c>
      <c r="AC75" s="41">
        <v>0</v>
      </c>
      <c r="AD75" s="41">
        <v>0</v>
      </c>
      <c r="AE75" s="41">
        <v>1</v>
      </c>
      <c r="AF75" s="42">
        <v>0</v>
      </c>
      <c r="AG75" s="42">
        <v>0</v>
      </c>
      <c r="AH75" s="42">
        <v>0</v>
      </c>
      <c r="AI75" s="42">
        <v>8</v>
      </c>
      <c r="AJ75" s="42">
        <v>7</v>
      </c>
      <c r="AK75" s="42">
        <v>0</v>
      </c>
      <c r="AL75" s="42">
        <v>0</v>
      </c>
      <c r="AM75" s="42">
        <v>0</v>
      </c>
      <c r="AN75" s="41">
        <v>16</v>
      </c>
      <c r="AO75" s="42">
        <v>0</v>
      </c>
      <c r="AP75" s="42">
        <v>9</v>
      </c>
      <c r="AQ75" s="43">
        <f>SUM(W75:AP75)</f>
        <v>769</v>
      </c>
    </row>
    <row r="76" spans="1:43" ht="18.899999999999999" customHeight="1">
      <c r="A76" s="44" t="s">
        <v>93</v>
      </c>
      <c r="B76" s="45">
        <v>452</v>
      </c>
      <c r="C76" s="46">
        <v>86</v>
      </c>
      <c r="D76" s="46">
        <v>0</v>
      </c>
      <c r="E76" s="46">
        <v>15</v>
      </c>
      <c r="F76" s="46">
        <v>1</v>
      </c>
      <c r="G76" s="46">
        <v>23</v>
      </c>
      <c r="H76" s="46">
        <v>0</v>
      </c>
      <c r="I76" s="46">
        <v>0</v>
      </c>
      <c r="J76" s="46">
        <v>4</v>
      </c>
      <c r="K76" s="47">
        <v>0</v>
      </c>
      <c r="L76" s="47">
        <v>0</v>
      </c>
      <c r="M76" s="47">
        <v>0</v>
      </c>
      <c r="N76" s="47">
        <v>2</v>
      </c>
      <c r="O76" s="47">
        <v>10</v>
      </c>
      <c r="P76" s="47">
        <v>1</v>
      </c>
      <c r="Q76" s="47">
        <v>2</v>
      </c>
      <c r="R76" s="47">
        <v>0</v>
      </c>
      <c r="S76" s="46">
        <v>12</v>
      </c>
      <c r="T76" s="47">
        <v>0</v>
      </c>
      <c r="U76" s="47">
        <v>4</v>
      </c>
      <c r="V76" s="48">
        <f t="shared" si="23"/>
        <v>612</v>
      </c>
      <c r="W76" s="45">
        <v>549</v>
      </c>
      <c r="X76" s="46">
        <v>91</v>
      </c>
      <c r="Y76" s="46">
        <v>1</v>
      </c>
      <c r="Z76" s="46">
        <v>27</v>
      </c>
      <c r="AA76" s="46">
        <v>7</v>
      </c>
      <c r="AB76" s="46">
        <v>47</v>
      </c>
      <c r="AC76" s="46">
        <v>0</v>
      </c>
      <c r="AD76" s="46">
        <v>0</v>
      </c>
      <c r="AE76" s="46">
        <v>4</v>
      </c>
      <c r="AF76" s="47">
        <v>0</v>
      </c>
      <c r="AG76" s="47">
        <v>0</v>
      </c>
      <c r="AH76" s="47">
        <v>0</v>
      </c>
      <c r="AI76" s="47">
        <v>15</v>
      </c>
      <c r="AJ76" s="47">
        <v>2</v>
      </c>
      <c r="AK76" s="47">
        <v>1</v>
      </c>
      <c r="AL76" s="47">
        <v>0</v>
      </c>
      <c r="AM76" s="47">
        <v>0</v>
      </c>
      <c r="AN76" s="46">
        <v>12</v>
      </c>
      <c r="AO76" s="47">
        <v>0</v>
      </c>
      <c r="AP76" s="47">
        <v>9</v>
      </c>
      <c r="AQ76" s="48">
        <f>SUM(W76:AP76)</f>
        <v>765</v>
      </c>
    </row>
    <row r="77" spans="1:43" ht="18.899999999999999" customHeight="1">
      <c r="A77" s="44" t="s">
        <v>94</v>
      </c>
      <c r="B77" s="45">
        <v>445</v>
      </c>
      <c r="C77" s="46">
        <v>90</v>
      </c>
      <c r="D77" s="46">
        <v>0</v>
      </c>
      <c r="E77" s="46">
        <v>18</v>
      </c>
      <c r="F77" s="46">
        <v>3</v>
      </c>
      <c r="G77" s="46">
        <v>44</v>
      </c>
      <c r="H77" s="46">
        <v>0</v>
      </c>
      <c r="I77" s="46">
        <v>0</v>
      </c>
      <c r="J77" s="46">
        <v>5</v>
      </c>
      <c r="K77" s="47">
        <v>0</v>
      </c>
      <c r="L77" s="47">
        <v>0</v>
      </c>
      <c r="M77" s="47">
        <v>0</v>
      </c>
      <c r="N77" s="47">
        <v>1</v>
      </c>
      <c r="O77" s="47">
        <v>12</v>
      </c>
      <c r="P77" s="47">
        <v>0</v>
      </c>
      <c r="Q77" s="47">
        <v>1</v>
      </c>
      <c r="R77" s="47">
        <v>0</v>
      </c>
      <c r="S77" s="46">
        <v>10</v>
      </c>
      <c r="T77" s="47">
        <v>0</v>
      </c>
      <c r="U77" s="47">
        <v>5</v>
      </c>
      <c r="V77" s="48">
        <f t="shared" si="23"/>
        <v>634</v>
      </c>
      <c r="W77" s="45">
        <v>573</v>
      </c>
      <c r="X77" s="46">
        <v>99</v>
      </c>
      <c r="Y77" s="46">
        <v>2</v>
      </c>
      <c r="Z77" s="46">
        <v>24</v>
      </c>
      <c r="AA77" s="46">
        <v>5</v>
      </c>
      <c r="AB77" s="46">
        <v>60</v>
      </c>
      <c r="AC77" s="46">
        <v>0</v>
      </c>
      <c r="AD77" s="46">
        <v>0</v>
      </c>
      <c r="AE77" s="46">
        <v>7</v>
      </c>
      <c r="AF77" s="47">
        <v>0</v>
      </c>
      <c r="AG77" s="47">
        <v>0</v>
      </c>
      <c r="AH77" s="47">
        <v>0</v>
      </c>
      <c r="AI77" s="47">
        <v>12</v>
      </c>
      <c r="AJ77" s="47">
        <v>1</v>
      </c>
      <c r="AK77" s="47">
        <v>2</v>
      </c>
      <c r="AL77" s="47">
        <v>0</v>
      </c>
      <c r="AM77" s="47">
        <v>0</v>
      </c>
      <c r="AN77" s="46">
        <v>19</v>
      </c>
      <c r="AO77" s="47">
        <v>0</v>
      </c>
      <c r="AP77" s="47">
        <v>5</v>
      </c>
      <c r="AQ77" s="48">
        <f>SUM(W77:AP77)</f>
        <v>809</v>
      </c>
    </row>
    <row r="78" spans="1:43" ht="18.899999999999999" customHeight="1" thickBot="1">
      <c r="A78" s="49" t="s">
        <v>95</v>
      </c>
      <c r="B78" s="45">
        <v>438</v>
      </c>
      <c r="C78" s="46">
        <v>98</v>
      </c>
      <c r="D78" s="46">
        <v>0</v>
      </c>
      <c r="E78" s="46">
        <v>14</v>
      </c>
      <c r="F78" s="46">
        <v>2</v>
      </c>
      <c r="G78" s="46">
        <v>36</v>
      </c>
      <c r="H78" s="46">
        <v>0</v>
      </c>
      <c r="I78" s="46">
        <v>0</v>
      </c>
      <c r="J78" s="46">
        <v>7</v>
      </c>
      <c r="K78" s="47">
        <v>0</v>
      </c>
      <c r="L78" s="47">
        <v>0</v>
      </c>
      <c r="M78" s="47">
        <v>0</v>
      </c>
      <c r="N78" s="47">
        <v>2</v>
      </c>
      <c r="O78" s="47">
        <v>12</v>
      </c>
      <c r="P78" s="47">
        <v>1</v>
      </c>
      <c r="Q78" s="47">
        <v>1</v>
      </c>
      <c r="R78" s="47">
        <v>0</v>
      </c>
      <c r="S78" s="46">
        <v>12</v>
      </c>
      <c r="T78" s="47">
        <v>0</v>
      </c>
      <c r="U78" s="47">
        <v>4</v>
      </c>
      <c r="V78" s="48">
        <f t="shared" si="23"/>
        <v>627</v>
      </c>
      <c r="W78" s="45">
        <v>603</v>
      </c>
      <c r="X78" s="46">
        <v>97</v>
      </c>
      <c r="Y78" s="46">
        <v>1</v>
      </c>
      <c r="Z78" s="46">
        <v>29</v>
      </c>
      <c r="AA78" s="46">
        <v>9</v>
      </c>
      <c r="AB78" s="46">
        <v>55</v>
      </c>
      <c r="AC78" s="46">
        <v>0</v>
      </c>
      <c r="AD78" s="46">
        <v>0</v>
      </c>
      <c r="AE78" s="46">
        <v>2</v>
      </c>
      <c r="AF78" s="47">
        <v>0</v>
      </c>
      <c r="AG78" s="47">
        <v>0</v>
      </c>
      <c r="AH78" s="47">
        <v>0</v>
      </c>
      <c r="AI78" s="47">
        <v>10</v>
      </c>
      <c r="AJ78" s="47">
        <v>1</v>
      </c>
      <c r="AK78" s="47">
        <v>1</v>
      </c>
      <c r="AL78" s="47">
        <v>0</v>
      </c>
      <c r="AM78" s="47">
        <v>0</v>
      </c>
      <c r="AN78" s="46">
        <v>21</v>
      </c>
      <c r="AO78" s="47">
        <v>1</v>
      </c>
      <c r="AP78" s="47">
        <v>7</v>
      </c>
      <c r="AQ78" s="48">
        <f>SUM(W78:AP78)</f>
        <v>837</v>
      </c>
    </row>
    <row r="79" spans="1:43" ht="18.899999999999999" customHeight="1" thickBot="1">
      <c r="A79" s="50" t="s">
        <v>47</v>
      </c>
      <c r="B79" s="51">
        <f t="shared" ref="B79:AQ79" si="24">SUM(B75:B78)</f>
        <v>1795</v>
      </c>
      <c r="C79" s="52">
        <f t="shared" si="24"/>
        <v>355</v>
      </c>
      <c r="D79" s="52">
        <f t="shared" si="24"/>
        <v>0</v>
      </c>
      <c r="E79" s="52">
        <f t="shared" si="24"/>
        <v>81</v>
      </c>
      <c r="F79" s="52">
        <f t="shared" si="24"/>
        <v>7</v>
      </c>
      <c r="G79" s="52">
        <f t="shared" si="24"/>
        <v>163</v>
      </c>
      <c r="H79" s="52">
        <f t="shared" si="24"/>
        <v>0</v>
      </c>
      <c r="I79" s="52">
        <f t="shared" si="24"/>
        <v>0</v>
      </c>
      <c r="J79" s="52">
        <f t="shared" si="24"/>
        <v>25</v>
      </c>
      <c r="K79" s="53">
        <f t="shared" si="24"/>
        <v>0</v>
      </c>
      <c r="L79" s="53">
        <f t="shared" si="24"/>
        <v>1</v>
      </c>
      <c r="M79" s="53">
        <f t="shared" si="24"/>
        <v>0</v>
      </c>
      <c r="N79" s="53">
        <f t="shared" si="24"/>
        <v>7</v>
      </c>
      <c r="O79" s="53">
        <f t="shared" si="24"/>
        <v>40</v>
      </c>
      <c r="P79" s="53">
        <f t="shared" si="24"/>
        <v>4</v>
      </c>
      <c r="Q79" s="53">
        <f t="shared" si="24"/>
        <v>5</v>
      </c>
      <c r="R79" s="53">
        <f t="shared" si="24"/>
        <v>0</v>
      </c>
      <c r="S79" s="52">
        <f t="shared" si="24"/>
        <v>47</v>
      </c>
      <c r="T79" s="53">
        <f t="shared" si="24"/>
        <v>0</v>
      </c>
      <c r="U79" s="53">
        <f t="shared" si="24"/>
        <v>17</v>
      </c>
      <c r="V79" s="54">
        <f t="shared" si="24"/>
        <v>2547</v>
      </c>
      <c r="W79" s="51">
        <f t="shared" si="24"/>
        <v>2249</v>
      </c>
      <c r="X79" s="52">
        <f t="shared" si="24"/>
        <v>375</v>
      </c>
      <c r="Y79" s="52">
        <f t="shared" si="24"/>
        <v>5</v>
      </c>
      <c r="Z79" s="52">
        <f t="shared" si="24"/>
        <v>117</v>
      </c>
      <c r="AA79" s="52">
        <f t="shared" si="24"/>
        <v>33</v>
      </c>
      <c r="AB79" s="52">
        <f t="shared" si="24"/>
        <v>228</v>
      </c>
      <c r="AC79" s="52">
        <f t="shared" si="24"/>
        <v>0</v>
      </c>
      <c r="AD79" s="52">
        <f t="shared" si="24"/>
        <v>0</v>
      </c>
      <c r="AE79" s="52">
        <f t="shared" si="24"/>
        <v>14</v>
      </c>
      <c r="AF79" s="53">
        <f t="shared" si="24"/>
        <v>0</v>
      </c>
      <c r="AG79" s="53">
        <f t="shared" si="24"/>
        <v>0</v>
      </c>
      <c r="AH79" s="53">
        <f t="shared" si="24"/>
        <v>0</v>
      </c>
      <c r="AI79" s="53">
        <f t="shared" si="24"/>
        <v>45</v>
      </c>
      <c r="AJ79" s="53">
        <f t="shared" si="24"/>
        <v>11</v>
      </c>
      <c r="AK79" s="53">
        <f t="shared" si="24"/>
        <v>4</v>
      </c>
      <c r="AL79" s="53">
        <f t="shared" si="24"/>
        <v>0</v>
      </c>
      <c r="AM79" s="53">
        <f t="shared" si="24"/>
        <v>0</v>
      </c>
      <c r="AN79" s="52">
        <f t="shared" si="24"/>
        <v>68</v>
      </c>
      <c r="AO79" s="53">
        <f t="shared" si="24"/>
        <v>1</v>
      </c>
      <c r="AP79" s="53">
        <f t="shared" si="24"/>
        <v>30</v>
      </c>
      <c r="AQ79" s="54">
        <f t="shared" si="24"/>
        <v>3180</v>
      </c>
    </row>
    <row r="80" spans="1:43" ht="18.899999999999999" customHeight="1">
      <c r="A80" s="39" t="s">
        <v>96</v>
      </c>
      <c r="B80" s="40">
        <v>448</v>
      </c>
      <c r="C80" s="41">
        <v>90</v>
      </c>
      <c r="D80" s="41">
        <v>0</v>
      </c>
      <c r="E80" s="41">
        <v>29</v>
      </c>
      <c r="F80" s="41">
        <v>0</v>
      </c>
      <c r="G80" s="41">
        <v>37</v>
      </c>
      <c r="H80" s="41">
        <v>0</v>
      </c>
      <c r="I80" s="41">
        <v>0</v>
      </c>
      <c r="J80" s="41">
        <v>6</v>
      </c>
      <c r="K80" s="42">
        <v>0</v>
      </c>
      <c r="L80" s="42">
        <v>0</v>
      </c>
      <c r="M80" s="42">
        <v>0</v>
      </c>
      <c r="N80" s="42">
        <v>2</v>
      </c>
      <c r="O80" s="42">
        <v>10</v>
      </c>
      <c r="P80" s="42">
        <v>0</v>
      </c>
      <c r="Q80" s="42">
        <v>2</v>
      </c>
      <c r="R80" s="42">
        <v>0</v>
      </c>
      <c r="S80" s="41">
        <v>8</v>
      </c>
      <c r="T80" s="42">
        <v>0</v>
      </c>
      <c r="U80" s="42">
        <v>3</v>
      </c>
      <c r="V80" s="43">
        <f t="shared" ref="V80:V83" si="25">SUM(B80:U80)</f>
        <v>635</v>
      </c>
      <c r="W80" s="40">
        <v>628</v>
      </c>
      <c r="X80" s="41">
        <v>95</v>
      </c>
      <c r="Y80" s="41">
        <v>1</v>
      </c>
      <c r="Z80" s="41">
        <v>30</v>
      </c>
      <c r="AA80" s="41">
        <v>4</v>
      </c>
      <c r="AB80" s="41">
        <v>59</v>
      </c>
      <c r="AC80" s="41">
        <v>0</v>
      </c>
      <c r="AD80" s="41">
        <v>0</v>
      </c>
      <c r="AE80" s="41">
        <v>3</v>
      </c>
      <c r="AF80" s="42">
        <v>0</v>
      </c>
      <c r="AG80" s="42">
        <v>0</v>
      </c>
      <c r="AH80" s="42">
        <v>0</v>
      </c>
      <c r="AI80" s="42">
        <v>11</v>
      </c>
      <c r="AJ80" s="42">
        <v>9</v>
      </c>
      <c r="AK80" s="42">
        <v>1</v>
      </c>
      <c r="AL80" s="42">
        <v>0</v>
      </c>
      <c r="AM80" s="42">
        <v>0</v>
      </c>
      <c r="AN80" s="41">
        <v>28</v>
      </c>
      <c r="AO80" s="42">
        <v>1</v>
      </c>
      <c r="AP80" s="42">
        <v>5</v>
      </c>
      <c r="AQ80" s="43">
        <f>SUM(W80:AP80)</f>
        <v>875</v>
      </c>
    </row>
    <row r="81" spans="1:43" ht="18.899999999999999" customHeight="1">
      <c r="A81" s="44" t="s">
        <v>97</v>
      </c>
      <c r="B81" s="45">
        <v>425</v>
      </c>
      <c r="C81" s="46">
        <v>99</v>
      </c>
      <c r="D81" s="46">
        <v>0</v>
      </c>
      <c r="E81" s="46">
        <v>32</v>
      </c>
      <c r="F81" s="46">
        <v>5</v>
      </c>
      <c r="G81" s="46">
        <v>38</v>
      </c>
      <c r="H81" s="46">
        <v>0</v>
      </c>
      <c r="I81" s="46">
        <v>0</v>
      </c>
      <c r="J81" s="46">
        <v>5</v>
      </c>
      <c r="K81" s="47">
        <v>0</v>
      </c>
      <c r="L81" s="47">
        <v>0</v>
      </c>
      <c r="M81" s="47">
        <v>0</v>
      </c>
      <c r="N81" s="47">
        <v>3</v>
      </c>
      <c r="O81" s="47">
        <v>18</v>
      </c>
      <c r="P81" s="47">
        <v>2</v>
      </c>
      <c r="Q81" s="47">
        <v>0</v>
      </c>
      <c r="R81" s="47">
        <v>0</v>
      </c>
      <c r="S81" s="46">
        <v>6</v>
      </c>
      <c r="T81" s="47">
        <v>0</v>
      </c>
      <c r="U81" s="47">
        <v>2</v>
      </c>
      <c r="V81" s="48">
        <f t="shared" si="25"/>
        <v>635</v>
      </c>
      <c r="W81" s="45">
        <v>619</v>
      </c>
      <c r="X81" s="46">
        <v>96</v>
      </c>
      <c r="Y81" s="46">
        <v>1</v>
      </c>
      <c r="Z81" s="46">
        <v>40</v>
      </c>
      <c r="AA81" s="46">
        <v>9</v>
      </c>
      <c r="AB81" s="46">
        <v>52</v>
      </c>
      <c r="AC81" s="46">
        <v>0</v>
      </c>
      <c r="AD81" s="46">
        <v>0</v>
      </c>
      <c r="AE81" s="46">
        <v>2</v>
      </c>
      <c r="AF81" s="47">
        <v>0</v>
      </c>
      <c r="AG81" s="47">
        <v>0</v>
      </c>
      <c r="AH81" s="47">
        <v>0</v>
      </c>
      <c r="AI81" s="47">
        <v>4</v>
      </c>
      <c r="AJ81" s="47">
        <v>7</v>
      </c>
      <c r="AK81" s="47">
        <v>4</v>
      </c>
      <c r="AL81" s="47">
        <v>0</v>
      </c>
      <c r="AM81" s="47">
        <v>0</v>
      </c>
      <c r="AN81" s="46">
        <v>31</v>
      </c>
      <c r="AO81" s="47">
        <v>0</v>
      </c>
      <c r="AP81" s="47">
        <v>4</v>
      </c>
      <c r="AQ81" s="48">
        <f>SUM(W81:AP81)</f>
        <v>869</v>
      </c>
    </row>
    <row r="82" spans="1:43" ht="18.899999999999999" customHeight="1">
      <c r="A82" s="44" t="s">
        <v>98</v>
      </c>
      <c r="B82" s="45">
        <v>415</v>
      </c>
      <c r="C82" s="46">
        <v>101</v>
      </c>
      <c r="D82" s="46">
        <v>0</v>
      </c>
      <c r="E82" s="46">
        <v>37</v>
      </c>
      <c r="F82" s="46">
        <v>4</v>
      </c>
      <c r="G82" s="46">
        <v>41</v>
      </c>
      <c r="H82" s="46">
        <v>0</v>
      </c>
      <c r="I82" s="46">
        <v>0</v>
      </c>
      <c r="J82" s="46">
        <v>4</v>
      </c>
      <c r="K82" s="47">
        <v>0</v>
      </c>
      <c r="L82" s="47">
        <v>0</v>
      </c>
      <c r="M82" s="47">
        <v>0</v>
      </c>
      <c r="N82" s="47">
        <v>2</v>
      </c>
      <c r="O82" s="47">
        <v>15</v>
      </c>
      <c r="P82" s="47">
        <v>1</v>
      </c>
      <c r="Q82" s="47">
        <v>1</v>
      </c>
      <c r="R82" s="47">
        <v>0</v>
      </c>
      <c r="S82" s="46">
        <v>9</v>
      </c>
      <c r="T82" s="47">
        <v>0</v>
      </c>
      <c r="U82" s="47">
        <v>5</v>
      </c>
      <c r="V82" s="48">
        <f t="shared" si="25"/>
        <v>635</v>
      </c>
      <c r="W82" s="45">
        <v>601</v>
      </c>
      <c r="X82" s="46">
        <v>102</v>
      </c>
      <c r="Y82" s="46">
        <v>1</v>
      </c>
      <c r="Z82" s="46">
        <v>32</v>
      </c>
      <c r="AA82" s="46">
        <v>4</v>
      </c>
      <c r="AB82" s="46">
        <v>64</v>
      </c>
      <c r="AC82" s="46">
        <v>0</v>
      </c>
      <c r="AD82" s="46">
        <v>0</v>
      </c>
      <c r="AE82" s="46">
        <v>1</v>
      </c>
      <c r="AF82" s="47">
        <v>0</v>
      </c>
      <c r="AG82" s="47">
        <v>0</v>
      </c>
      <c r="AH82" s="47">
        <v>0</v>
      </c>
      <c r="AI82" s="47">
        <v>2</v>
      </c>
      <c r="AJ82" s="47">
        <v>4</v>
      </c>
      <c r="AK82" s="47">
        <v>2</v>
      </c>
      <c r="AL82" s="47">
        <v>0</v>
      </c>
      <c r="AM82" s="47">
        <v>0</v>
      </c>
      <c r="AN82" s="46">
        <v>15</v>
      </c>
      <c r="AO82" s="47">
        <v>0</v>
      </c>
      <c r="AP82" s="47">
        <v>5</v>
      </c>
      <c r="AQ82" s="48">
        <f>SUM(W82:AP82)</f>
        <v>833</v>
      </c>
    </row>
    <row r="83" spans="1:43" ht="18.899999999999999" customHeight="1" thickBot="1">
      <c r="A83" s="49" t="s">
        <v>99</v>
      </c>
      <c r="B83" s="45">
        <v>405</v>
      </c>
      <c r="C83" s="46">
        <v>92</v>
      </c>
      <c r="D83" s="46">
        <v>0</v>
      </c>
      <c r="E83" s="46">
        <v>36</v>
      </c>
      <c r="F83" s="46">
        <v>1</v>
      </c>
      <c r="G83" s="46">
        <v>40</v>
      </c>
      <c r="H83" s="46">
        <v>0</v>
      </c>
      <c r="I83" s="46">
        <v>0</v>
      </c>
      <c r="J83" s="46">
        <v>3</v>
      </c>
      <c r="K83" s="47">
        <v>0</v>
      </c>
      <c r="L83" s="47">
        <v>0</v>
      </c>
      <c r="M83" s="47">
        <v>0</v>
      </c>
      <c r="N83" s="47">
        <v>2</v>
      </c>
      <c r="O83" s="47">
        <v>12</v>
      </c>
      <c r="P83" s="47">
        <v>1</v>
      </c>
      <c r="Q83" s="47">
        <v>2</v>
      </c>
      <c r="R83" s="47">
        <v>0</v>
      </c>
      <c r="S83" s="46">
        <v>5</v>
      </c>
      <c r="T83" s="47">
        <v>0</v>
      </c>
      <c r="U83" s="47">
        <v>4</v>
      </c>
      <c r="V83" s="48">
        <f t="shared" si="25"/>
        <v>603</v>
      </c>
      <c r="W83" s="45">
        <v>623</v>
      </c>
      <c r="X83" s="46">
        <v>116</v>
      </c>
      <c r="Y83" s="46">
        <v>2</v>
      </c>
      <c r="Z83" s="46">
        <v>33</v>
      </c>
      <c r="AA83" s="46">
        <v>5</v>
      </c>
      <c r="AB83" s="46">
        <v>38</v>
      </c>
      <c r="AC83" s="46">
        <v>0</v>
      </c>
      <c r="AD83" s="46">
        <v>0</v>
      </c>
      <c r="AE83" s="46">
        <v>2</v>
      </c>
      <c r="AF83" s="47">
        <v>0</v>
      </c>
      <c r="AG83" s="47">
        <v>0</v>
      </c>
      <c r="AH83" s="47">
        <v>0</v>
      </c>
      <c r="AI83" s="47">
        <v>7</v>
      </c>
      <c r="AJ83" s="47">
        <v>2</v>
      </c>
      <c r="AK83" s="47">
        <v>1</v>
      </c>
      <c r="AL83" s="47">
        <v>0</v>
      </c>
      <c r="AM83" s="47">
        <v>0</v>
      </c>
      <c r="AN83" s="46">
        <v>12</v>
      </c>
      <c r="AO83" s="47">
        <v>0</v>
      </c>
      <c r="AP83" s="47">
        <v>2</v>
      </c>
      <c r="AQ83" s="48">
        <f>SUM(W83:AP83)</f>
        <v>843</v>
      </c>
    </row>
    <row r="84" spans="1:43" ht="18.899999999999999" customHeight="1" thickBot="1">
      <c r="A84" s="50" t="s">
        <v>47</v>
      </c>
      <c r="B84" s="51">
        <f t="shared" ref="B84:AQ84" si="26">SUM(B80:B83)</f>
        <v>1693</v>
      </c>
      <c r="C84" s="52">
        <f t="shared" si="26"/>
        <v>382</v>
      </c>
      <c r="D84" s="52">
        <f t="shared" si="26"/>
        <v>0</v>
      </c>
      <c r="E84" s="52">
        <f t="shared" si="26"/>
        <v>134</v>
      </c>
      <c r="F84" s="52">
        <f t="shared" si="26"/>
        <v>10</v>
      </c>
      <c r="G84" s="52">
        <f t="shared" si="26"/>
        <v>156</v>
      </c>
      <c r="H84" s="52">
        <f t="shared" si="26"/>
        <v>0</v>
      </c>
      <c r="I84" s="52">
        <f t="shared" si="26"/>
        <v>0</v>
      </c>
      <c r="J84" s="52">
        <f t="shared" si="26"/>
        <v>18</v>
      </c>
      <c r="K84" s="53">
        <f t="shared" si="26"/>
        <v>0</v>
      </c>
      <c r="L84" s="53">
        <f t="shared" si="26"/>
        <v>0</v>
      </c>
      <c r="M84" s="53">
        <f t="shared" si="26"/>
        <v>0</v>
      </c>
      <c r="N84" s="53">
        <f t="shared" si="26"/>
        <v>9</v>
      </c>
      <c r="O84" s="53">
        <f t="shared" si="26"/>
        <v>55</v>
      </c>
      <c r="P84" s="53">
        <f t="shared" si="26"/>
        <v>4</v>
      </c>
      <c r="Q84" s="53">
        <f t="shared" si="26"/>
        <v>5</v>
      </c>
      <c r="R84" s="53">
        <f t="shared" si="26"/>
        <v>0</v>
      </c>
      <c r="S84" s="52">
        <f t="shared" si="26"/>
        <v>28</v>
      </c>
      <c r="T84" s="53">
        <f t="shared" si="26"/>
        <v>0</v>
      </c>
      <c r="U84" s="53">
        <f t="shared" si="26"/>
        <v>14</v>
      </c>
      <c r="V84" s="54">
        <f t="shared" si="26"/>
        <v>2508</v>
      </c>
      <c r="W84" s="51">
        <f t="shared" si="26"/>
        <v>2471</v>
      </c>
      <c r="X84" s="52">
        <f t="shared" si="26"/>
        <v>409</v>
      </c>
      <c r="Y84" s="52">
        <f t="shared" si="26"/>
        <v>5</v>
      </c>
      <c r="Z84" s="52">
        <f t="shared" si="26"/>
        <v>135</v>
      </c>
      <c r="AA84" s="52">
        <f t="shared" si="26"/>
        <v>22</v>
      </c>
      <c r="AB84" s="52">
        <f t="shared" si="26"/>
        <v>213</v>
      </c>
      <c r="AC84" s="52">
        <f t="shared" si="26"/>
        <v>0</v>
      </c>
      <c r="AD84" s="52">
        <f t="shared" si="26"/>
        <v>0</v>
      </c>
      <c r="AE84" s="52">
        <f t="shared" si="26"/>
        <v>8</v>
      </c>
      <c r="AF84" s="53">
        <f t="shared" si="26"/>
        <v>0</v>
      </c>
      <c r="AG84" s="53">
        <f t="shared" si="26"/>
        <v>0</v>
      </c>
      <c r="AH84" s="53">
        <f t="shared" si="26"/>
        <v>0</v>
      </c>
      <c r="AI84" s="53">
        <f t="shared" si="26"/>
        <v>24</v>
      </c>
      <c r="AJ84" s="53">
        <f t="shared" si="26"/>
        <v>22</v>
      </c>
      <c r="AK84" s="53">
        <f t="shared" si="26"/>
        <v>8</v>
      </c>
      <c r="AL84" s="53">
        <f t="shared" si="26"/>
        <v>0</v>
      </c>
      <c r="AM84" s="53">
        <f t="shared" si="26"/>
        <v>0</v>
      </c>
      <c r="AN84" s="52">
        <f t="shared" si="26"/>
        <v>86</v>
      </c>
      <c r="AO84" s="53">
        <f t="shared" si="26"/>
        <v>1</v>
      </c>
      <c r="AP84" s="53">
        <f t="shared" si="26"/>
        <v>16</v>
      </c>
      <c r="AQ84" s="54">
        <f t="shared" si="26"/>
        <v>3420</v>
      </c>
    </row>
    <row r="85" spans="1:43" ht="18.899999999999999" customHeight="1">
      <c r="A85" s="39" t="s">
        <v>100</v>
      </c>
      <c r="B85" s="40">
        <v>399</v>
      </c>
      <c r="C85" s="41">
        <v>100</v>
      </c>
      <c r="D85" s="41">
        <v>0</v>
      </c>
      <c r="E85" s="41">
        <v>25</v>
      </c>
      <c r="F85" s="41">
        <v>2</v>
      </c>
      <c r="G85" s="41">
        <v>41</v>
      </c>
      <c r="H85" s="41">
        <v>0</v>
      </c>
      <c r="I85" s="41">
        <v>0</v>
      </c>
      <c r="J85" s="41">
        <v>2</v>
      </c>
      <c r="K85" s="42">
        <v>0</v>
      </c>
      <c r="L85" s="42">
        <v>0</v>
      </c>
      <c r="M85" s="42">
        <v>0</v>
      </c>
      <c r="N85" s="42">
        <v>4</v>
      </c>
      <c r="O85" s="42">
        <v>10</v>
      </c>
      <c r="P85" s="42">
        <v>3</v>
      </c>
      <c r="Q85" s="42">
        <v>0</v>
      </c>
      <c r="R85" s="42">
        <v>0</v>
      </c>
      <c r="S85" s="41">
        <v>4</v>
      </c>
      <c r="T85" s="42">
        <v>0</v>
      </c>
      <c r="U85" s="42">
        <v>2</v>
      </c>
      <c r="V85" s="43">
        <f t="shared" ref="V85:V88" si="27">SUM(B85:U85)</f>
        <v>592</v>
      </c>
      <c r="W85" s="40">
        <v>608</v>
      </c>
      <c r="X85" s="41">
        <v>115</v>
      </c>
      <c r="Y85" s="41">
        <v>0</v>
      </c>
      <c r="Z85" s="41">
        <v>35</v>
      </c>
      <c r="AA85" s="41">
        <v>8</v>
      </c>
      <c r="AB85" s="41">
        <v>65</v>
      </c>
      <c r="AC85" s="41">
        <v>2</v>
      </c>
      <c r="AD85" s="41">
        <v>0</v>
      </c>
      <c r="AE85" s="41">
        <v>2</v>
      </c>
      <c r="AF85" s="42">
        <v>0</v>
      </c>
      <c r="AG85" s="42">
        <v>0</v>
      </c>
      <c r="AH85" s="42">
        <v>0</v>
      </c>
      <c r="AI85" s="42">
        <v>2</v>
      </c>
      <c r="AJ85" s="42">
        <v>6</v>
      </c>
      <c r="AK85" s="42">
        <v>1</v>
      </c>
      <c r="AL85" s="42">
        <v>0</v>
      </c>
      <c r="AM85" s="42">
        <v>0</v>
      </c>
      <c r="AN85" s="41">
        <v>16</v>
      </c>
      <c r="AO85" s="42">
        <v>0</v>
      </c>
      <c r="AP85" s="42">
        <v>3</v>
      </c>
      <c r="AQ85" s="43">
        <f>SUM(W85:AP85)</f>
        <v>863</v>
      </c>
    </row>
    <row r="86" spans="1:43" ht="18.899999999999999" customHeight="1">
      <c r="A86" s="44" t="s">
        <v>101</v>
      </c>
      <c r="B86" s="45">
        <v>385</v>
      </c>
      <c r="C86" s="46">
        <v>85</v>
      </c>
      <c r="D86" s="46">
        <v>0</v>
      </c>
      <c r="E86" s="46">
        <v>28</v>
      </c>
      <c r="F86" s="46">
        <v>1</v>
      </c>
      <c r="G86" s="46">
        <v>39</v>
      </c>
      <c r="H86" s="46">
        <v>0</v>
      </c>
      <c r="I86" s="46">
        <v>0</v>
      </c>
      <c r="J86" s="46">
        <v>2</v>
      </c>
      <c r="K86" s="47">
        <v>0</v>
      </c>
      <c r="L86" s="47">
        <v>0</v>
      </c>
      <c r="M86" s="47">
        <v>0</v>
      </c>
      <c r="N86" s="47">
        <v>2</v>
      </c>
      <c r="O86" s="47">
        <v>12</v>
      </c>
      <c r="P86" s="47">
        <v>1</v>
      </c>
      <c r="Q86" s="47">
        <v>1</v>
      </c>
      <c r="R86" s="47">
        <v>0</v>
      </c>
      <c r="S86" s="46">
        <v>4</v>
      </c>
      <c r="T86" s="47">
        <v>0</v>
      </c>
      <c r="U86" s="47">
        <v>1</v>
      </c>
      <c r="V86" s="48">
        <f t="shared" si="27"/>
        <v>561</v>
      </c>
      <c r="W86" s="45">
        <v>596</v>
      </c>
      <c r="X86" s="46">
        <v>103</v>
      </c>
      <c r="Y86" s="46">
        <v>1</v>
      </c>
      <c r="Z86" s="46">
        <v>26</v>
      </c>
      <c r="AA86" s="46">
        <v>7</v>
      </c>
      <c r="AB86" s="46">
        <v>43</v>
      </c>
      <c r="AC86" s="46">
        <v>1</v>
      </c>
      <c r="AD86" s="46">
        <v>0</v>
      </c>
      <c r="AE86" s="46">
        <v>4</v>
      </c>
      <c r="AF86" s="47">
        <v>0</v>
      </c>
      <c r="AG86" s="47">
        <v>0</v>
      </c>
      <c r="AH86" s="47">
        <v>0</v>
      </c>
      <c r="AI86" s="47">
        <v>4</v>
      </c>
      <c r="AJ86" s="47">
        <v>5</v>
      </c>
      <c r="AK86" s="47">
        <v>1</v>
      </c>
      <c r="AL86" s="47">
        <v>0</v>
      </c>
      <c r="AM86" s="47">
        <v>0</v>
      </c>
      <c r="AN86" s="46">
        <v>19</v>
      </c>
      <c r="AO86" s="47">
        <v>0</v>
      </c>
      <c r="AP86" s="47">
        <v>1</v>
      </c>
      <c r="AQ86" s="48">
        <f>SUM(W86:AP86)</f>
        <v>811</v>
      </c>
    </row>
    <row r="87" spans="1:43" ht="18.899999999999999" customHeight="1">
      <c r="A87" s="44" t="s">
        <v>102</v>
      </c>
      <c r="B87" s="45">
        <v>395</v>
      </c>
      <c r="C87" s="46">
        <v>92</v>
      </c>
      <c r="D87" s="46">
        <v>0</v>
      </c>
      <c r="E87" s="46">
        <v>24</v>
      </c>
      <c r="F87" s="46">
        <v>2</v>
      </c>
      <c r="G87" s="46">
        <v>30</v>
      </c>
      <c r="H87" s="46">
        <v>0</v>
      </c>
      <c r="I87" s="46">
        <v>0</v>
      </c>
      <c r="J87" s="46">
        <v>0</v>
      </c>
      <c r="K87" s="47">
        <v>0</v>
      </c>
      <c r="L87" s="47">
        <v>0</v>
      </c>
      <c r="M87" s="47">
        <v>0</v>
      </c>
      <c r="N87" s="47">
        <v>1</v>
      </c>
      <c r="O87" s="47">
        <v>9</v>
      </c>
      <c r="P87" s="47">
        <v>1</v>
      </c>
      <c r="Q87" s="47">
        <v>2</v>
      </c>
      <c r="R87" s="47">
        <v>0</v>
      </c>
      <c r="S87" s="46">
        <v>5</v>
      </c>
      <c r="T87" s="47">
        <v>0</v>
      </c>
      <c r="U87" s="47">
        <v>1</v>
      </c>
      <c r="V87" s="48">
        <f t="shared" si="27"/>
        <v>562</v>
      </c>
      <c r="W87" s="45">
        <v>575</v>
      </c>
      <c r="X87" s="46">
        <v>119</v>
      </c>
      <c r="Y87" s="46">
        <v>2</v>
      </c>
      <c r="Z87" s="46">
        <v>41</v>
      </c>
      <c r="AA87" s="46">
        <v>2</v>
      </c>
      <c r="AB87" s="46">
        <v>42</v>
      </c>
      <c r="AC87" s="46">
        <v>1</v>
      </c>
      <c r="AD87" s="46">
        <v>0</v>
      </c>
      <c r="AE87" s="46">
        <v>2</v>
      </c>
      <c r="AF87" s="47">
        <v>0</v>
      </c>
      <c r="AG87" s="47">
        <v>0</v>
      </c>
      <c r="AH87" s="47">
        <v>0</v>
      </c>
      <c r="AI87" s="47">
        <v>2</v>
      </c>
      <c r="AJ87" s="47">
        <v>2</v>
      </c>
      <c r="AK87" s="47">
        <v>1</v>
      </c>
      <c r="AL87" s="47">
        <v>0</v>
      </c>
      <c r="AM87" s="47">
        <v>0</v>
      </c>
      <c r="AN87" s="46">
        <v>12</v>
      </c>
      <c r="AO87" s="47">
        <v>0</v>
      </c>
      <c r="AP87" s="47">
        <v>2</v>
      </c>
      <c r="AQ87" s="48">
        <f>SUM(W87:AP87)</f>
        <v>803</v>
      </c>
    </row>
    <row r="88" spans="1:43" ht="18.899999999999999" customHeight="1" thickBot="1">
      <c r="A88" s="49" t="s">
        <v>103</v>
      </c>
      <c r="B88" s="45">
        <v>372</v>
      </c>
      <c r="C88" s="46">
        <v>80</v>
      </c>
      <c r="D88" s="46">
        <v>0</v>
      </c>
      <c r="E88" s="46">
        <v>20</v>
      </c>
      <c r="F88" s="46">
        <v>1</v>
      </c>
      <c r="G88" s="46">
        <v>41</v>
      </c>
      <c r="H88" s="46">
        <v>0</v>
      </c>
      <c r="I88" s="46">
        <v>0</v>
      </c>
      <c r="J88" s="46">
        <v>1</v>
      </c>
      <c r="K88" s="47">
        <v>0</v>
      </c>
      <c r="L88" s="47">
        <v>0</v>
      </c>
      <c r="M88" s="47">
        <v>0</v>
      </c>
      <c r="N88" s="47">
        <v>0</v>
      </c>
      <c r="O88" s="47">
        <v>8</v>
      </c>
      <c r="P88" s="47">
        <v>0</v>
      </c>
      <c r="Q88" s="47">
        <v>1</v>
      </c>
      <c r="R88" s="47">
        <v>0</v>
      </c>
      <c r="S88" s="46">
        <v>6</v>
      </c>
      <c r="T88" s="47">
        <v>0</v>
      </c>
      <c r="U88" s="47">
        <v>2</v>
      </c>
      <c r="V88" s="48">
        <f t="shared" si="27"/>
        <v>532</v>
      </c>
      <c r="W88" s="45">
        <v>581</v>
      </c>
      <c r="X88" s="46">
        <v>116</v>
      </c>
      <c r="Y88" s="46">
        <v>1</v>
      </c>
      <c r="Z88" s="46">
        <v>33</v>
      </c>
      <c r="AA88" s="46">
        <v>0</v>
      </c>
      <c r="AB88" s="46">
        <v>41</v>
      </c>
      <c r="AC88" s="46">
        <v>0</v>
      </c>
      <c r="AD88" s="46">
        <v>0</v>
      </c>
      <c r="AE88" s="46">
        <v>1</v>
      </c>
      <c r="AF88" s="47">
        <v>0</v>
      </c>
      <c r="AG88" s="47">
        <v>0</v>
      </c>
      <c r="AH88" s="47">
        <v>0</v>
      </c>
      <c r="AI88" s="47">
        <v>1</v>
      </c>
      <c r="AJ88" s="47">
        <v>7</v>
      </c>
      <c r="AK88" s="47">
        <v>2</v>
      </c>
      <c r="AL88" s="47">
        <v>0</v>
      </c>
      <c r="AM88" s="47">
        <v>0</v>
      </c>
      <c r="AN88" s="46">
        <v>21</v>
      </c>
      <c r="AO88" s="47">
        <v>0</v>
      </c>
      <c r="AP88" s="47">
        <v>1</v>
      </c>
      <c r="AQ88" s="48">
        <f>SUM(W88:AP88)</f>
        <v>805</v>
      </c>
    </row>
    <row r="89" spans="1:43" ht="18.899999999999999" customHeight="1" thickBot="1">
      <c r="A89" s="50" t="s">
        <v>47</v>
      </c>
      <c r="B89" s="51">
        <f t="shared" ref="B89:AQ89" si="28">SUM(B85:B88)</f>
        <v>1551</v>
      </c>
      <c r="C89" s="52">
        <f t="shared" si="28"/>
        <v>357</v>
      </c>
      <c r="D89" s="52">
        <f t="shared" si="28"/>
        <v>0</v>
      </c>
      <c r="E89" s="52">
        <f t="shared" si="28"/>
        <v>97</v>
      </c>
      <c r="F89" s="52">
        <f t="shared" si="28"/>
        <v>6</v>
      </c>
      <c r="G89" s="52">
        <f t="shared" si="28"/>
        <v>151</v>
      </c>
      <c r="H89" s="52">
        <f t="shared" si="28"/>
        <v>0</v>
      </c>
      <c r="I89" s="52">
        <f t="shared" si="28"/>
        <v>0</v>
      </c>
      <c r="J89" s="52">
        <f t="shared" si="28"/>
        <v>5</v>
      </c>
      <c r="K89" s="53">
        <f t="shared" si="28"/>
        <v>0</v>
      </c>
      <c r="L89" s="53">
        <f t="shared" si="28"/>
        <v>0</v>
      </c>
      <c r="M89" s="53">
        <f t="shared" si="28"/>
        <v>0</v>
      </c>
      <c r="N89" s="53">
        <f t="shared" si="28"/>
        <v>7</v>
      </c>
      <c r="O89" s="53">
        <f t="shared" si="28"/>
        <v>39</v>
      </c>
      <c r="P89" s="53">
        <f t="shared" si="28"/>
        <v>5</v>
      </c>
      <c r="Q89" s="53">
        <f t="shared" si="28"/>
        <v>4</v>
      </c>
      <c r="R89" s="53">
        <f t="shared" si="28"/>
        <v>0</v>
      </c>
      <c r="S89" s="52">
        <f t="shared" si="28"/>
        <v>19</v>
      </c>
      <c r="T89" s="53">
        <f t="shared" si="28"/>
        <v>0</v>
      </c>
      <c r="U89" s="53">
        <f t="shared" si="28"/>
        <v>6</v>
      </c>
      <c r="V89" s="54">
        <f t="shared" si="28"/>
        <v>2247</v>
      </c>
      <c r="W89" s="51">
        <f t="shared" si="28"/>
        <v>2360</v>
      </c>
      <c r="X89" s="52">
        <f t="shared" si="28"/>
        <v>453</v>
      </c>
      <c r="Y89" s="52">
        <f t="shared" si="28"/>
        <v>4</v>
      </c>
      <c r="Z89" s="52">
        <f t="shared" si="28"/>
        <v>135</v>
      </c>
      <c r="AA89" s="52">
        <f t="shared" si="28"/>
        <v>17</v>
      </c>
      <c r="AB89" s="52">
        <f t="shared" si="28"/>
        <v>191</v>
      </c>
      <c r="AC89" s="52">
        <f t="shared" si="28"/>
        <v>4</v>
      </c>
      <c r="AD89" s="52">
        <f t="shared" si="28"/>
        <v>0</v>
      </c>
      <c r="AE89" s="52">
        <f t="shared" si="28"/>
        <v>9</v>
      </c>
      <c r="AF89" s="53">
        <f t="shared" si="28"/>
        <v>0</v>
      </c>
      <c r="AG89" s="53">
        <f t="shared" si="28"/>
        <v>0</v>
      </c>
      <c r="AH89" s="53">
        <f t="shared" si="28"/>
        <v>0</v>
      </c>
      <c r="AI89" s="53">
        <f t="shared" si="28"/>
        <v>9</v>
      </c>
      <c r="AJ89" s="53">
        <f t="shared" si="28"/>
        <v>20</v>
      </c>
      <c r="AK89" s="53">
        <f t="shared" si="28"/>
        <v>5</v>
      </c>
      <c r="AL89" s="53">
        <f t="shared" si="28"/>
        <v>0</v>
      </c>
      <c r="AM89" s="53">
        <f t="shared" si="28"/>
        <v>0</v>
      </c>
      <c r="AN89" s="52">
        <f t="shared" si="28"/>
        <v>68</v>
      </c>
      <c r="AO89" s="53">
        <f t="shared" si="28"/>
        <v>0</v>
      </c>
      <c r="AP89" s="53">
        <f t="shared" si="28"/>
        <v>7</v>
      </c>
      <c r="AQ89" s="54">
        <f t="shared" si="28"/>
        <v>3282</v>
      </c>
    </row>
    <row r="90" spans="1:43" ht="18.899999999999999" customHeight="1">
      <c r="A90" s="39" t="s">
        <v>104</v>
      </c>
      <c r="B90" s="40">
        <v>358</v>
      </c>
      <c r="C90" s="41">
        <v>85</v>
      </c>
      <c r="D90" s="41">
        <v>0</v>
      </c>
      <c r="E90" s="41">
        <v>23</v>
      </c>
      <c r="F90" s="41">
        <v>1</v>
      </c>
      <c r="G90" s="41">
        <v>22</v>
      </c>
      <c r="H90" s="41">
        <v>0</v>
      </c>
      <c r="I90" s="41">
        <v>0</v>
      </c>
      <c r="J90" s="41">
        <v>2</v>
      </c>
      <c r="K90" s="42">
        <v>0</v>
      </c>
      <c r="L90" s="42">
        <v>0</v>
      </c>
      <c r="M90" s="42">
        <v>0</v>
      </c>
      <c r="N90" s="42">
        <v>1</v>
      </c>
      <c r="O90" s="42">
        <v>4</v>
      </c>
      <c r="P90" s="42">
        <v>0</v>
      </c>
      <c r="Q90" s="42">
        <v>1</v>
      </c>
      <c r="R90" s="42">
        <v>0</v>
      </c>
      <c r="S90" s="41">
        <v>3</v>
      </c>
      <c r="T90" s="42">
        <v>0</v>
      </c>
      <c r="U90" s="42">
        <v>3</v>
      </c>
      <c r="V90" s="43">
        <f t="shared" ref="V90:V93" si="29">SUM(B90:U90)</f>
        <v>503</v>
      </c>
      <c r="W90" s="40">
        <v>569</v>
      </c>
      <c r="X90" s="41">
        <v>120</v>
      </c>
      <c r="Y90" s="41">
        <v>1</v>
      </c>
      <c r="Z90" s="41">
        <v>35</v>
      </c>
      <c r="AA90" s="41">
        <v>7</v>
      </c>
      <c r="AB90" s="41">
        <v>46</v>
      </c>
      <c r="AC90" s="41">
        <v>1</v>
      </c>
      <c r="AD90" s="41">
        <v>0</v>
      </c>
      <c r="AE90" s="41">
        <v>2</v>
      </c>
      <c r="AF90" s="42">
        <v>0</v>
      </c>
      <c r="AG90" s="42">
        <v>0</v>
      </c>
      <c r="AH90" s="42">
        <v>0</v>
      </c>
      <c r="AI90" s="42">
        <v>4</v>
      </c>
      <c r="AJ90" s="42">
        <v>4</v>
      </c>
      <c r="AK90" s="42">
        <v>4</v>
      </c>
      <c r="AL90" s="42">
        <v>0</v>
      </c>
      <c r="AM90" s="42">
        <v>0</v>
      </c>
      <c r="AN90" s="41">
        <v>19</v>
      </c>
      <c r="AO90" s="42">
        <v>0</v>
      </c>
      <c r="AP90" s="42">
        <v>2</v>
      </c>
      <c r="AQ90" s="43">
        <f t="shared" ref="AQ90:AQ98" si="30">SUM(W90:AP90)</f>
        <v>814</v>
      </c>
    </row>
    <row r="91" spans="1:43" ht="18.899999999999999" customHeight="1">
      <c r="A91" s="44" t="s">
        <v>105</v>
      </c>
      <c r="B91" s="45">
        <v>342</v>
      </c>
      <c r="C91" s="46">
        <v>93</v>
      </c>
      <c r="D91" s="46">
        <v>0</v>
      </c>
      <c r="E91" s="46">
        <v>24</v>
      </c>
      <c r="F91" s="46">
        <v>1</v>
      </c>
      <c r="G91" s="46">
        <v>35</v>
      </c>
      <c r="H91" s="46">
        <v>0</v>
      </c>
      <c r="I91" s="46">
        <v>0</v>
      </c>
      <c r="J91" s="46">
        <v>1</v>
      </c>
      <c r="K91" s="47">
        <v>0</v>
      </c>
      <c r="L91" s="47">
        <v>0</v>
      </c>
      <c r="M91" s="47">
        <v>0</v>
      </c>
      <c r="N91" s="47">
        <v>0</v>
      </c>
      <c r="O91" s="47">
        <v>8</v>
      </c>
      <c r="P91" s="47">
        <v>2</v>
      </c>
      <c r="Q91" s="47">
        <v>0</v>
      </c>
      <c r="R91" s="47">
        <v>0</v>
      </c>
      <c r="S91" s="46">
        <v>2</v>
      </c>
      <c r="T91" s="47">
        <v>0</v>
      </c>
      <c r="U91" s="47">
        <v>1</v>
      </c>
      <c r="V91" s="48">
        <f t="shared" si="29"/>
        <v>509</v>
      </c>
      <c r="W91" s="45">
        <v>503</v>
      </c>
      <c r="X91" s="46">
        <v>101</v>
      </c>
      <c r="Y91" s="46">
        <v>1</v>
      </c>
      <c r="Z91" s="46">
        <v>24</v>
      </c>
      <c r="AA91" s="46">
        <v>3</v>
      </c>
      <c r="AB91" s="46">
        <v>46</v>
      </c>
      <c r="AC91" s="46">
        <v>0</v>
      </c>
      <c r="AD91" s="46">
        <v>0</v>
      </c>
      <c r="AE91" s="46">
        <v>1</v>
      </c>
      <c r="AF91" s="47">
        <v>0</v>
      </c>
      <c r="AG91" s="47">
        <v>0</v>
      </c>
      <c r="AH91" s="47">
        <v>0</v>
      </c>
      <c r="AI91" s="47">
        <v>3</v>
      </c>
      <c r="AJ91" s="47">
        <v>5</v>
      </c>
      <c r="AK91" s="47">
        <v>2</v>
      </c>
      <c r="AL91" s="47">
        <v>0</v>
      </c>
      <c r="AM91" s="47">
        <v>0</v>
      </c>
      <c r="AN91" s="46">
        <v>11</v>
      </c>
      <c r="AO91" s="47">
        <v>0</v>
      </c>
      <c r="AP91" s="47">
        <v>1</v>
      </c>
      <c r="AQ91" s="48">
        <f t="shared" si="30"/>
        <v>701</v>
      </c>
    </row>
    <row r="92" spans="1:43" ht="18.899999999999999" customHeight="1">
      <c r="A92" s="44" t="s">
        <v>106</v>
      </c>
      <c r="B92" s="45">
        <v>315</v>
      </c>
      <c r="C92" s="46">
        <v>95</v>
      </c>
      <c r="D92" s="46">
        <v>0</v>
      </c>
      <c r="E92" s="46">
        <v>23</v>
      </c>
      <c r="F92" s="46">
        <v>1</v>
      </c>
      <c r="G92" s="46">
        <v>30</v>
      </c>
      <c r="H92" s="46">
        <v>0</v>
      </c>
      <c r="I92" s="46">
        <v>0</v>
      </c>
      <c r="J92" s="46">
        <v>0</v>
      </c>
      <c r="K92" s="47">
        <v>0</v>
      </c>
      <c r="L92" s="47">
        <v>0</v>
      </c>
      <c r="M92" s="47">
        <v>0</v>
      </c>
      <c r="N92" s="47">
        <v>3</v>
      </c>
      <c r="O92" s="47">
        <v>8</v>
      </c>
      <c r="P92" s="47">
        <v>1</v>
      </c>
      <c r="Q92" s="47">
        <v>2</v>
      </c>
      <c r="R92" s="47">
        <v>0</v>
      </c>
      <c r="S92" s="46">
        <v>4</v>
      </c>
      <c r="T92" s="47">
        <v>0</v>
      </c>
      <c r="U92" s="47">
        <v>2</v>
      </c>
      <c r="V92" s="48">
        <f t="shared" si="29"/>
        <v>484</v>
      </c>
      <c r="W92" s="45">
        <v>493</v>
      </c>
      <c r="X92" s="46">
        <v>93</v>
      </c>
      <c r="Y92" s="46">
        <v>1</v>
      </c>
      <c r="Z92" s="46">
        <v>33</v>
      </c>
      <c r="AA92" s="46">
        <v>3</v>
      </c>
      <c r="AB92" s="46">
        <v>40</v>
      </c>
      <c r="AC92" s="46">
        <v>0</v>
      </c>
      <c r="AD92" s="46">
        <v>0</v>
      </c>
      <c r="AE92" s="46">
        <v>2</v>
      </c>
      <c r="AF92" s="47">
        <v>0</v>
      </c>
      <c r="AG92" s="47">
        <v>0</v>
      </c>
      <c r="AH92" s="47">
        <v>0</v>
      </c>
      <c r="AI92" s="47">
        <v>2</v>
      </c>
      <c r="AJ92" s="47">
        <v>4</v>
      </c>
      <c r="AK92" s="47">
        <v>1</v>
      </c>
      <c r="AL92" s="47">
        <v>0</v>
      </c>
      <c r="AM92" s="47">
        <v>0</v>
      </c>
      <c r="AN92" s="46">
        <v>14</v>
      </c>
      <c r="AO92" s="47">
        <v>0</v>
      </c>
      <c r="AP92" s="47">
        <v>2</v>
      </c>
      <c r="AQ92" s="48">
        <f t="shared" si="30"/>
        <v>688</v>
      </c>
    </row>
    <row r="93" spans="1:43" ht="18.899999999999999" customHeight="1" thickBot="1">
      <c r="A93" s="49" t="s">
        <v>107</v>
      </c>
      <c r="B93" s="45">
        <v>300</v>
      </c>
      <c r="C93" s="46">
        <v>81</v>
      </c>
      <c r="D93" s="46">
        <v>0</v>
      </c>
      <c r="E93" s="46">
        <v>22</v>
      </c>
      <c r="F93" s="46">
        <v>1</v>
      </c>
      <c r="G93" s="46">
        <v>31</v>
      </c>
      <c r="H93" s="46">
        <v>0</v>
      </c>
      <c r="I93" s="46">
        <v>0</v>
      </c>
      <c r="J93" s="46">
        <v>1</v>
      </c>
      <c r="K93" s="47">
        <v>0</v>
      </c>
      <c r="L93" s="47">
        <v>0</v>
      </c>
      <c r="M93" s="47">
        <v>0</v>
      </c>
      <c r="N93" s="47">
        <v>1</v>
      </c>
      <c r="O93" s="47">
        <v>5</v>
      </c>
      <c r="P93" s="47">
        <v>2</v>
      </c>
      <c r="Q93" s="47">
        <v>2</v>
      </c>
      <c r="R93" s="47">
        <v>0</v>
      </c>
      <c r="S93" s="46">
        <v>2</v>
      </c>
      <c r="T93" s="47">
        <v>0</v>
      </c>
      <c r="U93" s="47">
        <v>0</v>
      </c>
      <c r="V93" s="48">
        <f t="shared" si="29"/>
        <v>448</v>
      </c>
      <c r="W93" s="45">
        <v>413</v>
      </c>
      <c r="X93" s="46">
        <v>97</v>
      </c>
      <c r="Y93" s="46">
        <v>1</v>
      </c>
      <c r="Z93" s="46">
        <v>22</v>
      </c>
      <c r="AA93" s="46">
        <v>2</v>
      </c>
      <c r="AB93" s="46">
        <v>36</v>
      </c>
      <c r="AC93" s="46">
        <v>0</v>
      </c>
      <c r="AD93" s="46">
        <v>0</v>
      </c>
      <c r="AE93" s="46">
        <v>1</v>
      </c>
      <c r="AF93" s="47">
        <v>0</v>
      </c>
      <c r="AG93" s="47">
        <v>0</v>
      </c>
      <c r="AH93" s="47">
        <v>0</v>
      </c>
      <c r="AI93" s="47">
        <v>1</v>
      </c>
      <c r="AJ93" s="47">
        <v>6</v>
      </c>
      <c r="AK93" s="47">
        <v>1</v>
      </c>
      <c r="AL93" s="47">
        <v>1</v>
      </c>
      <c r="AM93" s="47">
        <v>0</v>
      </c>
      <c r="AN93" s="46">
        <v>12</v>
      </c>
      <c r="AO93" s="47">
        <v>0</v>
      </c>
      <c r="AP93" s="47">
        <v>4</v>
      </c>
      <c r="AQ93" s="48">
        <f t="shared" si="30"/>
        <v>597</v>
      </c>
    </row>
    <row r="94" spans="1:43" ht="18.899999999999999" customHeight="1" thickBot="1">
      <c r="A94" s="50" t="s">
        <v>47</v>
      </c>
      <c r="B94" s="51">
        <f t="shared" ref="B94:AQ94" si="31">SUM(B90:B93)</f>
        <v>1315</v>
      </c>
      <c r="C94" s="52">
        <f t="shared" si="31"/>
        <v>354</v>
      </c>
      <c r="D94" s="52">
        <f t="shared" si="31"/>
        <v>0</v>
      </c>
      <c r="E94" s="52">
        <f t="shared" si="31"/>
        <v>92</v>
      </c>
      <c r="F94" s="52">
        <f t="shared" si="31"/>
        <v>4</v>
      </c>
      <c r="G94" s="52">
        <f t="shared" si="31"/>
        <v>118</v>
      </c>
      <c r="H94" s="52">
        <f t="shared" si="31"/>
        <v>0</v>
      </c>
      <c r="I94" s="52">
        <f t="shared" si="31"/>
        <v>0</v>
      </c>
      <c r="J94" s="52">
        <f t="shared" si="31"/>
        <v>4</v>
      </c>
      <c r="K94" s="53">
        <f t="shared" si="31"/>
        <v>0</v>
      </c>
      <c r="L94" s="53">
        <f t="shared" si="31"/>
        <v>0</v>
      </c>
      <c r="M94" s="53">
        <f t="shared" si="31"/>
        <v>0</v>
      </c>
      <c r="N94" s="53">
        <f t="shared" si="31"/>
        <v>5</v>
      </c>
      <c r="O94" s="53">
        <f t="shared" si="31"/>
        <v>25</v>
      </c>
      <c r="P94" s="53">
        <f t="shared" si="31"/>
        <v>5</v>
      </c>
      <c r="Q94" s="53">
        <f t="shared" si="31"/>
        <v>5</v>
      </c>
      <c r="R94" s="53">
        <f t="shared" si="31"/>
        <v>0</v>
      </c>
      <c r="S94" s="52">
        <f t="shared" si="31"/>
        <v>11</v>
      </c>
      <c r="T94" s="53">
        <f t="shared" si="31"/>
        <v>0</v>
      </c>
      <c r="U94" s="53">
        <f t="shared" si="31"/>
        <v>6</v>
      </c>
      <c r="V94" s="54">
        <f t="shared" si="31"/>
        <v>1944</v>
      </c>
      <c r="W94" s="51">
        <f t="shared" si="31"/>
        <v>1978</v>
      </c>
      <c r="X94" s="52">
        <f t="shared" si="31"/>
        <v>411</v>
      </c>
      <c r="Y94" s="52">
        <f t="shared" si="31"/>
        <v>4</v>
      </c>
      <c r="Z94" s="52">
        <f t="shared" si="31"/>
        <v>114</v>
      </c>
      <c r="AA94" s="52">
        <f t="shared" si="31"/>
        <v>15</v>
      </c>
      <c r="AB94" s="52">
        <f t="shared" si="31"/>
        <v>168</v>
      </c>
      <c r="AC94" s="52">
        <f t="shared" si="31"/>
        <v>1</v>
      </c>
      <c r="AD94" s="52">
        <f t="shared" si="31"/>
        <v>0</v>
      </c>
      <c r="AE94" s="52">
        <f t="shared" si="31"/>
        <v>6</v>
      </c>
      <c r="AF94" s="53">
        <f t="shared" si="31"/>
        <v>0</v>
      </c>
      <c r="AG94" s="53">
        <f t="shared" si="31"/>
        <v>0</v>
      </c>
      <c r="AH94" s="53">
        <f t="shared" si="31"/>
        <v>0</v>
      </c>
      <c r="AI94" s="53">
        <f t="shared" si="31"/>
        <v>10</v>
      </c>
      <c r="AJ94" s="53">
        <f t="shared" si="31"/>
        <v>19</v>
      </c>
      <c r="AK94" s="53">
        <f t="shared" si="31"/>
        <v>8</v>
      </c>
      <c r="AL94" s="53">
        <f t="shared" si="31"/>
        <v>1</v>
      </c>
      <c r="AM94" s="53">
        <f t="shared" si="31"/>
        <v>0</v>
      </c>
      <c r="AN94" s="52">
        <f t="shared" si="31"/>
        <v>56</v>
      </c>
      <c r="AO94" s="53">
        <f t="shared" si="31"/>
        <v>0</v>
      </c>
      <c r="AP94" s="53">
        <f t="shared" si="31"/>
        <v>9</v>
      </c>
      <c r="AQ94" s="54">
        <f t="shared" si="31"/>
        <v>2800</v>
      </c>
    </row>
    <row r="95" spans="1:43" ht="18.899999999999999" customHeight="1">
      <c r="A95" s="39" t="s">
        <v>108</v>
      </c>
      <c r="B95" s="40">
        <v>228</v>
      </c>
      <c r="C95" s="41">
        <v>72</v>
      </c>
      <c r="D95" s="41">
        <v>0</v>
      </c>
      <c r="E95" s="41">
        <v>21</v>
      </c>
      <c r="F95" s="41">
        <v>2</v>
      </c>
      <c r="G95" s="41">
        <v>22</v>
      </c>
      <c r="H95" s="41">
        <v>0</v>
      </c>
      <c r="I95" s="41">
        <v>0</v>
      </c>
      <c r="J95" s="41">
        <v>3</v>
      </c>
      <c r="K95" s="42">
        <v>0</v>
      </c>
      <c r="L95" s="42">
        <v>0</v>
      </c>
      <c r="M95" s="42">
        <v>0</v>
      </c>
      <c r="N95" s="42">
        <v>1</v>
      </c>
      <c r="O95" s="42">
        <v>4</v>
      </c>
      <c r="P95" s="42">
        <v>4</v>
      </c>
      <c r="Q95" s="42">
        <v>2</v>
      </c>
      <c r="R95" s="42">
        <v>0</v>
      </c>
      <c r="S95" s="41">
        <v>4</v>
      </c>
      <c r="T95" s="42">
        <v>0</v>
      </c>
      <c r="U95" s="42">
        <v>2</v>
      </c>
      <c r="V95" s="43">
        <f t="shared" ref="V95:V98" si="32">SUM(B95:U95)</f>
        <v>365</v>
      </c>
      <c r="W95" s="40">
        <v>399</v>
      </c>
      <c r="X95" s="41">
        <v>99</v>
      </c>
      <c r="Y95" s="41">
        <v>1</v>
      </c>
      <c r="Z95" s="41">
        <v>30</v>
      </c>
      <c r="AA95" s="41">
        <v>3</v>
      </c>
      <c r="AB95" s="41">
        <v>33</v>
      </c>
      <c r="AC95" s="41">
        <v>0</v>
      </c>
      <c r="AD95" s="41">
        <v>0</v>
      </c>
      <c r="AE95" s="41">
        <v>2</v>
      </c>
      <c r="AF95" s="42">
        <v>0</v>
      </c>
      <c r="AG95" s="42">
        <v>0</v>
      </c>
      <c r="AH95" s="42">
        <v>0</v>
      </c>
      <c r="AI95" s="42">
        <v>1</v>
      </c>
      <c r="AJ95" s="42">
        <v>3</v>
      </c>
      <c r="AK95" s="42">
        <v>1</v>
      </c>
      <c r="AL95" s="42">
        <v>2</v>
      </c>
      <c r="AM95" s="42">
        <v>0</v>
      </c>
      <c r="AN95" s="41">
        <v>9</v>
      </c>
      <c r="AO95" s="42">
        <v>0</v>
      </c>
      <c r="AP95" s="42">
        <v>3</v>
      </c>
      <c r="AQ95" s="43">
        <f t="shared" si="30"/>
        <v>586</v>
      </c>
    </row>
    <row r="96" spans="1:43" ht="18.899999999999999" customHeight="1">
      <c r="A96" s="44" t="s">
        <v>109</v>
      </c>
      <c r="B96" s="45">
        <v>220</v>
      </c>
      <c r="C96" s="46">
        <v>70</v>
      </c>
      <c r="D96" s="46">
        <v>0</v>
      </c>
      <c r="E96" s="46">
        <v>20</v>
      </c>
      <c r="F96" s="46">
        <v>0</v>
      </c>
      <c r="G96" s="46">
        <v>20</v>
      </c>
      <c r="H96" s="46">
        <v>0</v>
      </c>
      <c r="I96" s="46">
        <v>0</v>
      </c>
      <c r="J96" s="46">
        <v>1</v>
      </c>
      <c r="K96" s="47">
        <v>0</v>
      </c>
      <c r="L96" s="47">
        <v>0</v>
      </c>
      <c r="M96" s="47">
        <v>0</v>
      </c>
      <c r="N96" s="47">
        <v>2</v>
      </c>
      <c r="O96" s="47">
        <v>2</v>
      </c>
      <c r="P96" s="47">
        <v>2</v>
      </c>
      <c r="Q96" s="47">
        <v>2</v>
      </c>
      <c r="R96" s="47">
        <v>0</v>
      </c>
      <c r="S96" s="46">
        <v>5</v>
      </c>
      <c r="T96" s="47">
        <v>0</v>
      </c>
      <c r="U96" s="47">
        <v>5</v>
      </c>
      <c r="V96" s="48">
        <f t="shared" si="32"/>
        <v>349</v>
      </c>
      <c r="W96" s="45">
        <v>343</v>
      </c>
      <c r="X96" s="46">
        <v>90</v>
      </c>
      <c r="Y96" s="46">
        <v>1</v>
      </c>
      <c r="Z96" s="46">
        <v>25</v>
      </c>
      <c r="AA96" s="46">
        <v>2</v>
      </c>
      <c r="AB96" s="46">
        <v>42</v>
      </c>
      <c r="AC96" s="46">
        <v>0</v>
      </c>
      <c r="AD96" s="46">
        <v>0</v>
      </c>
      <c r="AE96" s="46">
        <v>4</v>
      </c>
      <c r="AF96" s="47">
        <v>0</v>
      </c>
      <c r="AG96" s="47">
        <v>0</v>
      </c>
      <c r="AH96" s="47">
        <v>0</v>
      </c>
      <c r="AI96" s="47">
        <v>5</v>
      </c>
      <c r="AJ96" s="47">
        <v>9</v>
      </c>
      <c r="AK96" s="47">
        <v>1</v>
      </c>
      <c r="AL96" s="47">
        <v>1</v>
      </c>
      <c r="AM96" s="47">
        <v>0</v>
      </c>
      <c r="AN96" s="46">
        <v>10</v>
      </c>
      <c r="AO96" s="47">
        <v>0</v>
      </c>
      <c r="AP96" s="47">
        <v>4</v>
      </c>
      <c r="AQ96" s="48">
        <f t="shared" si="30"/>
        <v>537</v>
      </c>
    </row>
    <row r="97" spans="1:43" ht="18.899999999999999" customHeight="1">
      <c r="A97" s="44" t="s">
        <v>110</v>
      </c>
      <c r="B97" s="45">
        <v>185</v>
      </c>
      <c r="C97" s="46">
        <v>66</v>
      </c>
      <c r="D97" s="46">
        <v>0</v>
      </c>
      <c r="E97" s="46">
        <v>18</v>
      </c>
      <c r="F97" s="46">
        <v>1</v>
      </c>
      <c r="G97" s="46">
        <v>21</v>
      </c>
      <c r="H97" s="46">
        <v>0</v>
      </c>
      <c r="I97" s="46">
        <v>0</v>
      </c>
      <c r="J97" s="46">
        <v>1</v>
      </c>
      <c r="K97" s="47">
        <v>0</v>
      </c>
      <c r="L97" s="47">
        <v>0</v>
      </c>
      <c r="M97" s="47">
        <v>0</v>
      </c>
      <c r="N97" s="47">
        <v>1</v>
      </c>
      <c r="O97" s="47">
        <v>2</v>
      </c>
      <c r="P97" s="47">
        <v>2</v>
      </c>
      <c r="Q97" s="47">
        <v>1</v>
      </c>
      <c r="R97" s="47">
        <v>0</v>
      </c>
      <c r="S97" s="46">
        <v>4</v>
      </c>
      <c r="T97" s="47">
        <v>0</v>
      </c>
      <c r="U97" s="47">
        <v>1</v>
      </c>
      <c r="V97" s="48">
        <f t="shared" si="32"/>
        <v>303</v>
      </c>
      <c r="W97" s="45">
        <v>320</v>
      </c>
      <c r="X97" s="46">
        <v>93</v>
      </c>
      <c r="Y97" s="46">
        <v>0</v>
      </c>
      <c r="Z97" s="46">
        <v>19</v>
      </c>
      <c r="AA97" s="46">
        <v>2</v>
      </c>
      <c r="AB97" s="46">
        <v>24</v>
      </c>
      <c r="AC97" s="46">
        <v>0</v>
      </c>
      <c r="AD97" s="46">
        <v>0</v>
      </c>
      <c r="AE97" s="46">
        <v>2</v>
      </c>
      <c r="AF97" s="47">
        <v>0</v>
      </c>
      <c r="AG97" s="47">
        <v>0</v>
      </c>
      <c r="AH97" s="47">
        <v>0</v>
      </c>
      <c r="AI97" s="47">
        <v>3</v>
      </c>
      <c r="AJ97" s="47">
        <v>6</v>
      </c>
      <c r="AK97" s="47">
        <v>1</v>
      </c>
      <c r="AL97" s="47">
        <v>0</v>
      </c>
      <c r="AM97" s="47">
        <v>0</v>
      </c>
      <c r="AN97" s="46">
        <v>9</v>
      </c>
      <c r="AO97" s="47">
        <v>0</v>
      </c>
      <c r="AP97" s="47">
        <v>3</v>
      </c>
      <c r="AQ97" s="48">
        <f t="shared" si="30"/>
        <v>482</v>
      </c>
    </row>
    <row r="98" spans="1:43" ht="18.899999999999999" customHeight="1" thickBot="1">
      <c r="A98" s="49" t="s">
        <v>111</v>
      </c>
      <c r="B98" s="45">
        <v>165</v>
      </c>
      <c r="C98" s="46">
        <v>60</v>
      </c>
      <c r="D98" s="46">
        <v>0</v>
      </c>
      <c r="E98" s="46">
        <v>8</v>
      </c>
      <c r="F98" s="46">
        <v>1</v>
      </c>
      <c r="G98" s="46">
        <v>17</v>
      </c>
      <c r="H98" s="46">
        <v>0</v>
      </c>
      <c r="I98" s="46">
        <v>0</v>
      </c>
      <c r="J98" s="46">
        <v>2</v>
      </c>
      <c r="K98" s="47">
        <v>0</v>
      </c>
      <c r="L98" s="47">
        <v>0</v>
      </c>
      <c r="M98" s="47">
        <v>0</v>
      </c>
      <c r="N98" s="47">
        <v>2</v>
      </c>
      <c r="O98" s="47">
        <v>1</v>
      </c>
      <c r="P98" s="47">
        <v>1</v>
      </c>
      <c r="Q98" s="47">
        <v>1</v>
      </c>
      <c r="R98" s="47">
        <v>0</v>
      </c>
      <c r="S98" s="46">
        <v>4</v>
      </c>
      <c r="T98" s="47">
        <v>0</v>
      </c>
      <c r="U98" s="47">
        <v>1</v>
      </c>
      <c r="V98" s="48">
        <f t="shared" si="32"/>
        <v>263</v>
      </c>
      <c r="W98" s="45">
        <v>285</v>
      </c>
      <c r="X98" s="46">
        <v>100</v>
      </c>
      <c r="Y98" s="46">
        <v>1</v>
      </c>
      <c r="Z98" s="46">
        <v>17</v>
      </c>
      <c r="AA98" s="46">
        <v>4</v>
      </c>
      <c r="AB98" s="46">
        <v>24</v>
      </c>
      <c r="AC98" s="46">
        <v>0</v>
      </c>
      <c r="AD98" s="46">
        <v>0</v>
      </c>
      <c r="AE98" s="46">
        <v>7</v>
      </c>
      <c r="AF98" s="47">
        <v>0</v>
      </c>
      <c r="AG98" s="47">
        <v>1</v>
      </c>
      <c r="AH98" s="47">
        <v>0</v>
      </c>
      <c r="AI98" s="47">
        <v>9</v>
      </c>
      <c r="AJ98" s="47">
        <v>4</v>
      </c>
      <c r="AK98" s="47">
        <v>1</v>
      </c>
      <c r="AL98" s="47">
        <v>1</v>
      </c>
      <c r="AM98" s="47">
        <v>1</v>
      </c>
      <c r="AN98" s="46">
        <v>4</v>
      </c>
      <c r="AO98" s="47">
        <v>0</v>
      </c>
      <c r="AP98" s="47">
        <v>1</v>
      </c>
      <c r="AQ98" s="48">
        <f t="shared" si="30"/>
        <v>460</v>
      </c>
    </row>
    <row r="99" spans="1:43" ht="18.899999999999999" customHeight="1" thickBot="1">
      <c r="A99" s="50" t="s">
        <v>47</v>
      </c>
      <c r="B99" s="51">
        <f t="shared" ref="B99:AQ99" si="33">SUM(B95:B98)</f>
        <v>798</v>
      </c>
      <c r="C99" s="52">
        <f t="shared" si="33"/>
        <v>268</v>
      </c>
      <c r="D99" s="52">
        <f t="shared" si="33"/>
        <v>0</v>
      </c>
      <c r="E99" s="52">
        <f t="shared" si="33"/>
        <v>67</v>
      </c>
      <c r="F99" s="52">
        <f t="shared" si="33"/>
        <v>4</v>
      </c>
      <c r="G99" s="52">
        <f t="shared" si="33"/>
        <v>80</v>
      </c>
      <c r="H99" s="52">
        <f t="shared" si="33"/>
        <v>0</v>
      </c>
      <c r="I99" s="52">
        <f t="shared" si="33"/>
        <v>0</v>
      </c>
      <c r="J99" s="52">
        <f t="shared" si="33"/>
        <v>7</v>
      </c>
      <c r="K99" s="53">
        <f t="shared" si="33"/>
        <v>0</v>
      </c>
      <c r="L99" s="53">
        <f t="shared" si="33"/>
        <v>0</v>
      </c>
      <c r="M99" s="53">
        <f t="shared" si="33"/>
        <v>0</v>
      </c>
      <c r="N99" s="53">
        <f t="shared" si="33"/>
        <v>6</v>
      </c>
      <c r="O99" s="53">
        <f t="shared" si="33"/>
        <v>9</v>
      </c>
      <c r="P99" s="53">
        <f t="shared" si="33"/>
        <v>9</v>
      </c>
      <c r="Q99" s="53">
        <f t="shared" si="33"/>
        <v>6</v>
      </c>
      <c r="R99" s="53">
        <f t="shared" si="33"/>
        <v>0</v>
      </c>
      <c r="S99" s="52">
        <f t="shared" si="33"/>
        <v>17</v>
      </c>
      <c r="T99" s="53">
        <f t="shared" si="33"/>
        <v>0</v>
      </c>
      <c r="U99" s="53">
        <f t="shared" si="33"/>
        <v>9</v>
      </c>
      <c r="V99" s="54">
        <f t="shared" si="33"/>
        <v>1280</v>
      </c>
      <c r="W99" s="51">
        <f t="shared" si="33"/>
        <v>1347</v>
      </c>
      <c r="X99" s="52">
        <f t="shared" si="33"/>
        <v>382</v>
      </c>
      <c r="Y99" s="52">
        <f t="shared" si="33"/>
        <v>3</v>
      </c>
      <c r="Z99" s="52">
        <f t="shared" si="33"/>
        <v>91</v>
      </c>
      <c r="AA99" s="52">
        <f t="shared" si="33"/>
        <v>11</v>
      </c>
      <c r="AB99" s="52">
        <f t="shared" si="33"/>
        <v>123</v>
      </c>
      <c r="AC99" s="52">
        <f t="shared" si="33"/>
        <v>0</v>
      </c>
      <c r="AD99" s="52">
        <f t="shared" si="33"/>
        <v>0</v>
      </c>
      <c r="AE99" s="52">
        <f t="shared" si="33"/>
        <v>15</v>
      </c>
      <c r="AF99" s="53">
        <f t="shared" si="33"/>
        <v>0</v>
      </c>
      <c r="AG99" s="53">
        <f t="shared" si="33"/>
        <v>1</v>
      </c>
      <c r="AH99" s="53">
        <f t="shared" si="33"/>
        <v>0</v>
      </c>
      <c r="AI99" s="53">
        <f t="shared" si="33"/>
        <v>18</v>
      </c>
      <c r="AJ99" s="53">
        <f t="shared" si="33"/>
        <v>22</v>
      </c>
      <c r="AK99" s="53">
        <f t="shared" si="33"/>
        <v>4</v>
      </c>
      <c r="AL99" s="53">
        <f t="shared" si="33"/>
        <v>4</v>
      </c>
      <c r="AM99" s="53">
        <f t="shared" si="33"/>
        <v>1</v>
      </c>
      <c r="AN99" s="52">
        <f t="shared" si="33"/>
        <v>32</v>
      </c>
      <c r="AO99" s="53">
        <f t="shared" si="33"/>
        <v>0</v>
      </c>
      <c r="AP99" s="53">
        <f t="shared" si="33"/>
        <v>11</v>
      </c>
      <c r="AQ99" s="54">
        <f t="shared" si="33"/>
        <v>2065</v>
      </c>
    </row>
    <row r="100" spans="1:43" ht="18.899999999999999" customHeight="1">
      <c r="A100" s="39" t="s">
        <v>112</v>
      </c>
      <c r="B100" s="40">
        <v>124</v>
      </c>
      <c r="C100" s="41">
        <v>50</v>
      </c>
      <c r="D100" s="41">
        <v>0</v>
      </c>
      <c r="E100" s="41">
        <v>8</v>
      </c>
      <c r="F100" s="41">
        <v>0</v>
      </c>
      <c r="G100" s="41">
        <v>18</v>
      </c>
      <c r="H100" s="41">
        <v>0</v>
      </c>
      <c r="I100" s="41">
        <v>0</v>
      </c>
      <c r="J100" s="41">
        <v>2</v>
      </c>
      <c r="K100" s="42">
        <v>0</v>
      </c>
      <c r="L100" s="42">
        <v>0</v>
      </c>
      <c r="M100" s="42">
        <v>0</v>
      </c>
      <c r="N100" s="42">
        <v>1</v>
      </c>
      <c r="O100" s="42">
        <v>3</v>
      </c>
      <c r="P100" s="42">
        <v>3</v>
      </c>
      <c r="Q100" s="42">
        <v>3</v>
      </c>
      <c r="R100" s="42">
        <v>2</v>
      </c>
      <c r="S100" s="41">
        <v>1</v>
      </c>
      <c r="T100" s="42">
        <v>0</v>
      </c>
      <c r="U100" s="42">
        <v>3</v>
      </c>
      <c r="V100" s="43">
        <f t="shared" ref="V100:V103" si="34">SUM(B100:U100)</f>
        <v>218</v>
      </c>
      <c r="W100" s="40">
        <v>217</v>
      </c>
      <c r="X100" s="41">
        <v>103</v>
      </c>
      <c r="Y100" s="41">
        <v>1</v>
      </c>
      <c r="Z100" s="41">
        <v>13</v>
      </c>
      <c r="AA100" s="41">
        <v>1</v>
      </c>
      <c r="AB100" s="41">
        <v>24</v>
      </c>
      <c r="AC100" s="41">
        <v>0</v>
      </c>
      <c r="AD100" s="41">
        <v>0</v>
      </c>
      <c r="AE100" s="41">
        <v>4</v>
      </c>
      <c r="AF100" s="42">
        <v>0</v>
      </c>
      <c r="AG100" s="42">
        <v>1</v>
      </c>
      <c r="AH100" s="42">
        <v>0</v>
      </c>
      <c r="AI100" s="42">
        <v>5</v>
      </c>
      <c r="AJ100" s="42">
        <v>2</v>
      </c>
      <c r="AK100" s="42">
        <v>2</v>
      </c>
      <c r="AL100" s="42">
        <v>1</v>
      </c>
      <c r="AM100" s="42">
        <v>1</v>
      </c>
      <c r="AN100" s="41">
        <v>3</v>
      </c>
      <c r="AO100" s="42">
        <v>0</v>
      </c>
      <c r="AP100" s="42">
        <v>0</v>
      </c>
      <c r="AQ100" s="43">
        <f t="shared" ref="AQ100:AQ103" si="35">SUM(W100:AP100)</f>
        <v>378</v>
      </c>
    </row>
    <row r="101" spans="1:43" ht="18.899999999999999" customHeight="1">
      <c r="A101" s="44" t="s">
        <v>113</v>
      </c>
      <c r="B101" s="45">
        <v>125</v>
      </c>
      <c r="C101" s="46">
        <v>65</v>
      </c>
      <c r="D101" s="46">
        <v>0</v>
      </c>
      <c r="E101" s="46">
        <v>5</v>
      </c>
      <c r="F101" s="46">
        <v>0</v>
      </c>
      <c r="G101" s="46">
        <v>12</v>
      </c>
      <c r="H101" s="46">
        <v>0</v>
      </c>
      <c r="I101" s="46">
        <v>0</v>
      </c>
      <c r="J101" s="46">
        <v>2</v>
      </c>
      <c r="K101" s="47">
        <v>0</v>
      </c>
      <c r="L101" s="47">
        <v>0</v>
      </c>
      <c r="M101" s="47">
        <v>0</v>
      </c>
      <c r="N101" s="47">
        <v>0</v>
      </c>
      <c r="O101" s="47">
        <v>1</v>
      </c>
      <c r="P101" s="47">
        <v>4</v>
      </c>
      <c r="Q101" s="47">
        <v>2</v>
      </c>
      <c r="R101" s="47">
        <v>1</v>
      </c>
      <c r="S101" s="46">
        <v>1</v>
      </c>
      <c r="T101" s="47">
        <v>0</v>
      </c>
      <c r="U101" s="47">
        <v>1</v>
      </c>
      <c r="V101" s="48">
        <f t="shared" si="34"/>
        <v>219</v>
      </c>
      <c r="W101" s="45">
        <v>205</v>
      </c>
      <c r="X101" s="46">
        <v>83</v>
      </c>
      <c r="Y101" s="46">
        <v>1</v>
      </c>
      <c r="Z101" s="46">
        <v>14</v>
      </c>
      <c r="AA101" s="46">
        <v>1</v>
      </c>
      <c r="AB101" s="46">
        <v>12</v>
      </c>
      <c r="AC101" s="46">
        <v>0</v>
      </c>
      <c r="AD101" s="46">
        <v>0</v>
      </c>
      <c r="AE101" s="46">
        <v>7</v>
      </c>
      <c r="AF101" s="47">
        <v>0</v>
      </c>
      <c r="AG101" s="47">
        <v>1</v>
      </c>
      <c r="AH101" s="47">
        <v>0</v>
      </c>
      <c r="AI101" s="47">
        <v>7</v>
      </c>
      <c r="AJ101" s="47">
        <v>1</v>
      </c>
      <c r="AK101" s="47">
        <v>4</v>
      </c>
      <c r="AL101" s="47">
        <v>1</v>
      </c>
      <c r="AM101" s="47">
        <v>1</v>
      </c>
      <c r="AN101" s="46">
        <v>4</v>
      </c>
      <c r="AO101" s="47">
        <v>0</v>
      </c>
      <c r="AP101" s="47">
        <v>1</v>
      </c>
      <c r="AQ101" s="48">
        <f t="shared" si="35"/>
        <v>343</v>
      </c>
    </row>
    <row r="102" spans="1:43" ht="18.899999999999999" customHeight="1">
      <c r="A102" s="44" t="s">
        <v>114</v>
      </c>
      <c r="B102" s="45">
        <v>110</v>
      </c>
      <c r="C102" s="46">
        <v>52</v>
      </c>
      <c r="D102" s="46">
        <v>0</v>
      </c>
      <c r="E102" s="46">
        <v>7</v>
      </c>
      <c r="F102" s="46">
        <v>1</v>
      </c>
      <c r="G102" s="46">
        <v>11</v>
      </c>
      <c r="H102" s="46">
        <v>0</v>
      </c>
      <c r="I102" s="46">
        <v>0</v>
      </c>
      <c r="J102" s="46">
        <v>2</v>
      </c>
      <c r="K102" s="47">
        <v>0</v>
      </c>
      <c r="L102" s="47">
        <v>0</v>
      </c>
      <c r="M102" s="47">
        <v>0</v>
      </c>
      <c r="N102" s="47">
        <v>1</v>
      </c>
      <c r="O102" s="47">
        <v>1</v>
      </c>
      <c r="P102" s="47">
        <v>1</v>
      </c>
      <c r="Q102" s="47">
        <v>2</v>
      </c>
      <c r="R102" s="47">
        <v>0</v>
      </c>
      <c r="S102" s="46">
        <v>2</v>
      </c>
      <c r="T102" s="47">
        <v>0</v>
      </c>
      <c r="U102" s="47">
        <v>2</v>
      </c>
      <c r="V102" s="48">
        <f t="shared" si="34"/>
        <v>192</v>
      </c>
      <c r="W102" s="45">
        <v>182</v>
      </c>
      <c r="X102" s="46">
        <v>62</v>
      </c>
      <c r="Y102" s="46">
        <v>1</v>
      </c>
      <c r="Z102" s="46">
        <v>9</v>
      </c>
      <c r="AA102" s="46">
        <v>2</v>
      </c>
      <c r="AB102" s="46">
        <v>38</v>
      </c>
      <c r="AC102" s="46">
        <v>0</v>
      </c>
      <c r="AD102" s="46">
        <v>0</v>
      </c>
      <c r="AE102" s="46">
        <v>6</v>
      </c>
      <c r="AF102" s="47">
        <v>0</v>
      </c>
      <c r="AG102" s="47">
        <v>1</v>
      </c>
      <c r="AH102" s="47">
        <v>0</v>
      </c>
      <c r="AI102" s="47">
        <v>1</v>
      </c>
      <c r="AJ102" s="47">
        <v>1</v>
      </c>
      <c r="AK102" s="47">
        <v>2</v>
      </c>
      <c r="AL102" s="47">
        <v>1</v>
      </c>
      <c r="AM102" s="47">
        <v>0</v>
      </c>
      <c r="AN102" s="46">
        <v>2</v>
      </c>
      <c r="AO102" s="47">
        <v>0</v>
      </c>
      <c r="AP102" s="47">
        <v>1</v>
      </c>
      <c r="AQ102" s="48">
        <f t="shared" si="35"/>
        <v>309</v>
      </c>
    </row>
    <row r="103" spans="1:43" ht="18.899999999999999" customHeight="1" thickBot="1">
      <c r="A103" s="49" t="s">
        <v>115</v>
      </c>
      <c r="B103" s="45">
        <v>105</v>
      </c>
      <c r="C103" s="46">
        <v>47</v>
      </c>
      <c r="D103" s="46">
        <v>0</v>
      </c>
      <c r="E103" s="46">
        <v>2</v>
      </c>
      <c r="F103" s="46">
        <v>1</v>
      </c>
      <c r="G103" s="46">
        <v>10</v>
      </c>
      <c r="H103" s="46">
        <v>0</v>
      </c>
      <c r="I103" s="46">
        <v>0</v>
      </c>
      <c r="J103" s="46">
        <v>1</v>
      </c>
      <c r="K103" s="47">
        <v>0</v>
      </c>
      <c r="L103" s="47">
        <v>0</v>
      </c>
      <c r="M103" s="47">
        <v>0</v>
      </c>
      <c r="N103" s="47">
        <v>0</v>
      </c>
      <c r="O103" s="47">
        <v>2</v>
      </c>
      <c r="P103" s="47">
        <v>2</v>
      </c>
      <c r="Q103" s="47">
        <v>1</v>
      </c>
      <c r="R103" s="47">
        <v>1</v>
      </c>
      <c r="S103" s="46">
        <v>2</v>
      </c>
      <c r="T103" s="47">
        <v>0</v>
      </c>
      <c r="U103" s="47">
        <v>2</v>
      </c>
      <c r="V103" s="48">
        <f t="shared" si="34"/>
        <v>176</v>
      </c>
      <c r="W103" s="45">
        <v>156</v>
      </c>
      <c r="X103" s="46">
        <v>69</v>
      </c>
      <c r="Y103" s="46">
        <v>1</v>
      </c>
      <c r="Z103" s="46">
        <v>15</v>
      </c>
      <c r="AA103" s="46">
        <v>0</v>
      </c>
      <c r="AB103" s="46">
        <v>19</v>
      </c>
      <c r="AC103" s="46">
        <v>0</v>
      </c>
      <c r="AD103" s="46">
        <v>0</v>
      </c>
      <c r="AE103" s="46">
        <v>4</v>
      </c>
      <c r="AF103" s="47">
        <v>0</v>
      </c>
      <c r="AG103" s="47">
        <v>1</v>
      </c>
      <c r="AH103" s="47">
        <v>0</v>
      </c>
      <c r="AI103" s="47">
        <v>1</v>
      </c>
      <c r="AJ103" s="47">
        <v>1</v>
      </c>
      <c r="AK103" s="47">
        <v>1</v>
      </c>
      <c r="AL103" s="47">
        <v>1</v>
      </c>
      <c r="AM103" s="47">
        <v>2</v>
      </c>
      <c r="AN103" s="46">
        <v>4</v>
      </c>
      <c r="AO103" s="47">
        <v>0</v>
      </c>
      <c r="AP103" s="47">
        <v>1</v>
      </c>
      <c r="AQ103" s="48">
        <f t="shared" si="35"/>
        <v>276</v>
      </c>
    </row>
    <row r="104" spans="1:43" ht="18.899999999999999" customHeight="1" thickBot="1">
      <c r="A104" s="50" t="s">
        <v>47</v>
      </c>
      <c r="B104" s="51">
        <f t="shared" ref="B104:AQ104" si="36">SUM(B100:B103)</f>
        <v>464</v>
      </c>
      <c r="C104" s="52">
        <f t="shared" si="36"/>
        <v>214</v>
      </c>
      <c r="D104" s="52">
        <f t="shared" si="36"/>
        <v>0</v>
      </c>
      <c r="E104" s="52">
        <f t="shared" si="36"/>
        <v>22</v>
      </c>
      <c r="F104" s="52">
        <f t="shared" si="36"/>
        <v>2</v>
      </c>
      <c r="G104" s="52">
        <f t="shared" si="36"/>
        <v>51</v>
      </c>
      <c r="H104" s="52">
        <f t="shared" si="36"/>
        <v>0</v>
      </c>
      <c r="I104" s="52">
        <f t="shared" si="36"/>
        <v>0</v>
      </c>
      <c r="J104" s="52">
        <f t="shared" si="36"/>
        <v>7</v>
      </c>
      <c r="K104" s="53">
        <f t="shared" si="36"/>
        <v>0</v>
      </c>
      <c r="L104" s="53">
        <f t="shared" si="36"/>
        <v>0</v>
      </c>
      <c r="M104" s="53">
        <f t="shared" si="36"/>
        <v>0</v>
      </c>
      <c r="N104" s="53">
        <f t="shared" si="36"/>
        <v>2</v>
      </c>
      <c r="O104" s="53">
        <f t="shared" si="36"/>
        <v>7</v>
      </c>
      <c r="P104" s="53">
        <f t="shared" si="36"/>
        <v>10</v>
      </c>
      <c r="Q104" s="53">
        <f t="shared" si="36"/>
        <v>8</v>
      </c>
      <c r="R104" s="53">
        <f t="shared" si="36"/>
        <v>4</v>
      </c>
      <c r="S104" s="52">
        <f t="shared" si="36"/>
        <v>6</v>
      </c>
      <c r="T104" s="53">
        <f t="shared" si="36"/>
        <v>0</v>
      </c>
      <c r="U104" s="53">
        <f t="shared" si="36"/>
        <v>8</v>
      </c>
      <c r="V104" s="54">
        <f t="shared" si="36"/>
        <v>805</v>
      </c>
      <c r="W104" s="51">
        <f t="shared" si="36"/>
        <v>760</v>
      </c>
      <c r="X104" s="52">
        <f t="shared" si="36"/>
        <v>317</v>
      </c>
      <c r="Y104" s="52">
        <f t="shared" si="36"/>
        <v>4</v>
      </c>
      <c r="Z104" s="52">
        <f t="shared" si="36"/>
        <v>51</v>
      </c>
      <c r="AA104" s="52">
        <f t="shared" si="36"/>
        <v>4</v>
      </c>
      <c r="AB104" s="52">
        <f t="shared" si="36"/>
        <v>93</v>
      </c>
      <c r="AC104" s="52">
        <f t="shared" si="36"/>
        <v>0</v>
      </c>
      <c r="AD104" s="52">
        <f t="shared" si="36"/>
        <v>0</v>
      </c>
      <c r="AE104" s="52">
        <f t="shared" si="36"/>
        <v>21</v>
      </c>
      <c r="AF104" s="53">
        <f t="shared" si="36"/>
        <v>0</v>
      </c>
      <c r="AG104" s="53">
        <f t="shared" si="36"/>
        <v>4</v>
      </c>
      <c r="AH104" s="53">
        <f t="shared" si="36"/>
        <v>0</v>
      </c>
      <c r="AI104" s="53">
        <f t="shared" si="36"/>
        <v>14</v>
      </c>
      <c r="AJ104" s="53">
        <f t="shared" si="36"/>
        <v>5</v>
      </c>
      <c r="AK104" s="53">
        <f t="shared" si="36"/>
        <v>9</v>
      </c>
      <c r="AL104" s="53">
        <f t="shared" si="36"/>
        <v>4</v>
      </c>
      <c r="AM104" s="53">
        <f t="shared" si="36"/>
        <v>4</v>
      </c>
      <c r="AN104" s="52">
        <f t="shared" si="36"/>
        <v>13</v>
      </c>
      <c r="AO104" s="53">
        <f t="shared" si="36"/>
        <v>0</v>
      </c>
      <c r="AP104" s="53">
        <f t="shared" si="36"/>
        <v>3</v>
      </c>
      <c r="AQ104" s="54">
        <f t="shared" si="36"/>
        <v>1306</v>
      </c>
    </row>
    <row r="105" spans="1:43" ht="18.899999999999999" customHeight="1">
      <c r="A105" s="55" t="s">
        <v>116</v>
      </c>
      <c r="B105" s="40">
        <v>78</v>
      </c>
      <c r="C105" s="41">
        <v>36</v>
      </c>
      <c r="D105" s="41">
        <v>0</v>
      </c>
      <c r="E105" s="41">
        <v>7</v>
      </c>
      <c r="F105" s="41">
        <v>0</v>
      </c>
      <c r="G105" s="41">
        <v>1</v>
      </c>
      <c r="H105" s="41">
        <v>0</v>
      </c>
      <c r="I105" s="41">
        <v>0</v>
      </c>
      <c r="J105" s="41">
        <v>0</v>
      </c>
      <c r="K105" s="42">
        <v>0</v>
      </c>
      <c r="L105" s="42">
        <v>0</v>
      </c>
      <c r="M105" s="42">
        <v>0</v>
      </c>
      <c r="N105" s="42">
        <v>1</v>
      </c>
      <c r="O105" s="42">
        <v>2</v>
      </c>
      <c r="P105" s="42">
        <v>2</v>
      </c>
      <c r="Q105" s="42">
        <v>0</v>
      </c>
      <c r="R105" s="42">
        <v>4</v>
      </c>
      <c r="S105" s="41">
        <v>0</v>
      </c>
      <c r="T105" s="42">
        <v>0</v>
      </c>
      <c r="U105" s="42">
        <v>0</v>
      </c>
      <c r="V105" s="43">
        <f t="shared" ref="V105:V108" si="37">SUM(B105:U105)</f>
        <v>131</v>
      </c>
      <c r="W105" s="40">
        <v>125</v>
      </c>
      <c r="X105" s="41">
        <v>57</v>
      </c>
      <c r="Y105" s="41">
        <v>0</v>
      </c>
      <c r="Z105" s="41">
        <v>12</v>
      </c>
      <c r="AA105" s="41">
        <v>0</v>
      </c>
      <c r="AB105" s="41">
        <v>13</v>
      </c>
      <c r="AC105" s="41">
        <v>0</v>
      </c>
      <c r="AD105" s="41">
        <v>0</v>
      </c>
      <c r="AE105" s="41">
        <v>1</v>
      </c>
      <c r="AF105" s="42">
        <v>0</v>
      </c>
      <c r="AG105" s="42">
        <v>0</v>
      </c>
      <c r="AH105" s="42">
        <v>0</v>
      </c>
      <c r="AI105" s="42">
        <v>3</v>
      </c>
      <c r="AJ105" s="42">
        <v>4</v>
      </c>
      <c r="AK105" s="42">
        <v>0</v>
      </c>
      <c r="AL105" s="42">
        <v>1</v>
      </c>
      <c r="AM105" s="42">
        <v>2</v>
      </c>
      <c r="AN105" s="41">
        <v>4</v>
      </c>
      <c r="AO105" s="42">
        <v>0</v>
      </c>
      <c r="AP105" s="42">
        <v>1</v>
      </c>
      <c r="AQ105" s="43">
        <f t="shared" ref="AQ105:AQ108" si="38">SUM(W105:AP105)</f>
        <v>223</v>
      </c>
    </row>
    <row r="106" spans="1:43" ht="18.899999999999999" customHeight="1">
      <c r="A106" s="44" t="s">
        <v>117</v>
      </c>
      <c r="B106" s="45">
        <v>67</v>
      </c>
      <c r="C106" s="46">
        <v>25</v>
      </c>
      <c r="D106" s="46">
        <v>0</v>
      </c>
      <c r="E106" s="46">
        <v>5</v>
      </c>
      <c r="F106" s="46">
        <v>0</v>
      </c>
      <c r="G106" s="46">
        <v>2</v>
      </c>
      <c r="H106" s="46">
        <v>0</v>
      </c>
      <c r="I106" s="46">
        <v>0</v>
      </c>
      <c r="J106" s="46">
        <v>0</v>
      </c>
      <c r="K106" s="47">
        <v>0</v>
      </c>
      <c r="L106" s="47">
        <v>0</v>
      </c>
      <c r="M106" s="47">
        <v>0</v>
      </c>
      <c r="N106" s="47">
        <v>3</v>
      </c>
      <c r="O106" s="47">
        <v>3</v>
      </c>
      <c r="P106" s="47">
        <v>4</v>
      </c>
      <c r="Q106" s="47">
        <v>0</v>
      </c>
      <c r="R106" s="47">
        <v>2</v>
      </c>
      <c r="S106" s="46">
        <v>1</v>
      </c>
      <c r="T106" s="47">
        <v>0</v>
      </c>
      <c r="U106" s="47">
        <v>0</v>
      </c>
      <c r="V106" s="48">
        <f t="shared" si="37"/>
        <v>112</v>
      </c>
      <c r="W106" s="45">
        <v>102</v>
      </c>
      <c r="X106" s="46">
        <v>41</v>
      </c>
      <c r="Y106" s="46">
        <v>0</v>
      </c>
      <c r="Z106" s="46">
        <v>6</v>
      </c>
      <c r="AA106" s="46">
        <v>2</v>
      </c>
      <c r="AB106" s="46">
        <v>7</v>
      </c>
      <c r="AC106" s="46">
        <v>0</v>
      </c>
      <c r="AD106" s="46">
        <v>0</v>
      </c>
      <c r="AE106" s="46">
        <v>1</v>
      </c>
      <c r="AF106" s="47">
        <v>0</v>
      </c>
      <c r="AG106" s="47">
        <v>0</v>
      </c>
      <c r="AH106" s="47">
        <v>0</v>
      </c>
      <c r="AI106" s="47">
        <v>1</v>
      </c>
      <c r="AJ106" s="47">
        <v>1</v>
      </c>
      <c r="AK106" s="47">
        <v>1</v>
      </c>
      <c r="AL106" s="47">
        <v>1</v>
      </c>
      <c r="AM106" s="47">
        <v>1</v>
      </c>
      <c r="AN106" s="46">
        <v>2</v>
      </c>
      <c r="AO106" s="47">
        <v>0</v>
      </c>
      <c r="AP106" s="47">
        <v>1</v>
      </c>
      <c r="AQ106" s="48">
        <f t="shared" si="38"/>
        <v>167</v>
      </c>
    </row>
    <row r="107" spans="1:43" ht="18.899999999999999" customHeight="1">
      <c r="A107" s="56" t="s">
        <v>118</v>
      </c>
      <c r="B107" s="45">
        <v>51</v>
      </c>
      <c r="C107" s="46">
        <v>28</v>
      </c>
      <c r="D107" s="46">
        <v>0</v>
      </c>
      <c r="E107" s="46">
        <v>6</v>
      </c>
      <c r="F107" s="46">
        <v>0</v>
      </c>
      <c r="G107" s="46">
        <v>3</v>
      </c>
      <c r="H107" s="46">
        <v>0</v>
      </c>
      <c r="I107" s="46">
        <v>0</v>
      </c>
      <c r="J107" s="46">
        <v>0</v>
      </c>
      <c r="K107" s="47">
        <v>0</v>
      </c>
      <c r="L107" s="47">
        <v>0</v>
      </c>
      <c r="M107" s="47">
        <v>0</v>
      </c>
      <c r="N107" s="47">
        <v>0</v>
      </c>
      <c r="O107" s="47">
        <v>1</v>
      </c>
      <c r="P107" s="47">
        <v>2</v>
      </c>
      <c r="Q107" s="47">
        <v>0</v>
      </c>
      <c r="R107" s="47">
        <v>1</v>
      </c>
      <c r="S107" s="46">
        <v>0</v>
      </c>
      <c r="T107" s="47">
        <v>0</v>
      </c>
      <c r="U107" s="47">
        <v>0</v>
      </c>
      <c r="V107" s="48">
        <f t="shared" si="37"/>
        <v>92</v>
      </c>
      <c r="W107" s="45">
        <v>100</v>
      </c>
      <c r="X107" s="46">
        <v>40</v>
      </c>
      <c r="Y107" s="46">
        <v>0</v>
      </c>
      <c r="Z107" s="46">
        <v>8</v>
      </c>
      <c r="AA107" s="46">
        <v>3</v>
      </c>
      <c r="AB107" s="46">
        <v>12</v>
      </c>
      <c r="AC107" s="46">
        <v>0</v>
      </c>
      <c r="AD107" s="46">
        <v>0</v>
      </c>
      <c r="AE107" s="46">
        <v>2</v>
      </c>
      <c r="AF107" s="47">
        <v>0</v>
      </c>
      <c r="AG107" s="47">
        <v>0</v>
      </c>
      <c r="AH107" s="47">
        <v>0</v>
      </c>
      <c r="AI107" s="47">
        <v>0</v>
      </c>
      <c r="AJ107" s="47">
        <v>2</v>
      </c>
      <c r="AK107" s="47">
        <v>2</v>
      </c>
      <c r="AL107" s="47">
        <v>2</v>
      </c>
      <c r="AM107" s="47">
        <v>0</v>
      </c>
      <c r="AN107" s="46">
        <v>3</v>
      </c>
      <c r="AO107" s="47">
        <v>0</v>
      </c>
      <c r="AP107" s="47">
        <v>0</v>
      </c>
      <c r="AQ107" s="48">
        <f t="shared" si="38"/>
        <v>174</v>
      </c>
    </row>
    <row r="108" spans="1:43" ht="18.899999999999999" customHeight="1" thickBot="1">
      <c r="A108" s="49" t="s">
        <v>119</v>
      </c>
      <c r="B108" s="45">
        <v>660</v>
      </c>
      <c r="C108" s="46">
        <v>303</v>
      </c>
      <c r="D108" s="46">
        <v>0</v>
      </c>
      <c r="E108" s="46">
        <v>40</v>
      </c>
      <c r="F108" s="46">
        <v>2</v>
      </c>
      <c r="G108" s="46">
        <v>57</v>
      </c>
      <c r="H108" s="46">
        <v>0</v>
      </c>
      <c r="I108" s="46">
        <v>0</v>
      </c>
      <c r="J108" s="46">
        <v>7</v>
      </c>
      <c r="K108" s="47">
        <v>0</v>
      </c>
      <c r="L108" s="47">
        <v>0</v>
      </c>
      <c r="M108" s="47">
        <v>0</v>
      </c>
      <c r="N108" s="47">
        <v>6</v>
      </c>
      <c r="O108" s="47">
        <v>13</v>
      </c>
      <c r="P108" s="47">
        <v>18</v>
      </c>
      <c r="Q108" s="47">
        <v>8</v>
      </c>
      <c r="R108" s="47">
        <v>11</v>
      </c>
      <c r="S108" s="46">
        <v>7</v>
      </c>
      <c r="T108" s="47">
        <v>0</v>
      </c>
      <c r="U108" s="47">
        <v>8</v>
      </c>
      <c r="V108" s="48">
        <f t="shared" si="37"/>
        <v>1140</v>
      </c>
      <c r="W108" s="45">
        <v>73</v>
      </c>
      <c r="X108" s="46">
        <v>33</v>
      </c>
      <c r="Y108" s="46">
        <v>0</v>
      </c>
      <c r="Z108" s="46">
        <v>4</v>
      </c>
      <c r="AA108" s="46">
        <v>9</v>
      </c>
      <c r="AB108" s="46">
        <v>9</v>
      </c>
      <c r="AC108" s="46">
        <v>1</v>
      </c>
      <c r="AD108" s="46">
        <v>0</v>
      </c>
      <c r="AE108" s="46">
        <v>2</v>
      </c>
      <c r="AF108" s="47">
        <v>0</v>
      </c>
      <c r="AG108" s="47">
        <v>0</v>
      </c>
      <c r="AH108" s="47">
        <v>0</v>
      </c>
      <c r="AI108" s="47">
        <v>0</v>
      </c>
      <c r="AJ108" s="47">
        <v>1</v>
      </c>
      <c r="AK108" s="47">
        <v>1</v>
      </c>
      <c r="AL108" s="47">
        <v>1</v>
      </c>
      <c r="AM108" s="47">
        <v>1</v>
      </c>
      <c r="AN108" s="46">
        <v>1</v>
      </c>
      <c r="AO108" s="47">
        <v>0</v>
      </c>
      <c r="AP108" s="47">
        <v>0</v>
      </c>
      <c r="AQ108" s="48">
        <f t="shared" si="38"/>
        <v>136</v>
      </c>
    </row>
    <row r="109" spans="1:43" ht="18.899999999999999" customHeight="1" thickBot="1">
      <c r="A109" s="50" t="s">
        <v>47</v>
      </c>
      <c r="B109" s="51">
        <f t="shared" ref="B109:AQ109" si="39">SUM(B105:B108)</f>
        <v>856</v>
      </c>
      <c r="C109" s="52">
        <f t="shared" si="39"/>
        <v>392</v>
      </c>
      <c r="D109" s="52">
        <f t="shared" si="39"/>
        <v>0</v>
      </c>
      <c r="E109" s="52">
        <f t="shared" si="39"/>
        <v>58</v>
      </c>
      <c r="F109" s="52">
        <f t="shared" si="39"/>
        <v>2</v>
      </c>
      <c r="G109" s="52">
        <f t="shared" si="39"/>
        <v>63</v>
      </c>
      <c r="H109" s="52">
        <f t="shared" si="39"/>
        <v>0</v>
      </c>
      <c r="I109" s="52">
        <f t="shared" si="39"/>
        <v>0</v>
      </c>
      <c r="J109" s="52">
        <f t="shared" si="39"/>
        <v>7</v>
      </c>
      <c r="K109" s="53">
        <f t="shared" si="39"/>
        <v>0</v>
      </c>
      <c r="L109" s="53">
        <f t="shared" si="39"/>
        <v>0</v>
      </c>
      <c r="M109" s="53">
        <f t="shared" si="39"/>
        <v>0</v>
      </c>
      <c r="N109" s="53">
        <f t="shared" si="39"/>
        <v>10</v>
      </c>
      <c r="O109" s="53">
        <f t="shared" si="39"/>
        <v>19</v>
      </c>
      <c r="P109" s="53">
        <f t="shared" si="39"/>
        <v>26</v>
      </c>
      <c r="Q109" s="53">
        <f t="shared" si="39"/>
        <v>8</v>
      </c>
      <c r="R109" s="53">
        <f t="shared" si="39"/>
        <v>18</v>
      </c>
      <c r="S109" s="52">
        <f t="shared" si="39"/>
        <v>8</v>
      </c>
      <c r="T109" s="53">
        <f t="shared" si="39"/>
        <v>0</v>
      </c>
      <c r="U109" s="53">
        <f t="shared" si="39"/>
        <v>8</v>
      </c>
      <c r="V109" s="54">
        <f t="shared" si="39"/>
        <v>1475</v>
      </c>
      <c r="W109" s="51">
        <f t="shared" si="39"/>
        <v>400</v>
      </c>
      <c r="X109" s="52">
        <f t="shared" si="39"/>
        <v>171</v>
      </c>
      <c r="Y109" s="52">
        <f t="shared" si="39"/>
        <v>0</v>
      </c>
      <c r="Z109" s="52">
        <f t="shared" si="39"/>
        <v>30</v>
      </c>
      <c r="AA109" s="52">
        <f t="shared" si="39"/>
        <v>14</v>
      </c>
      <c r="AB109" s="52">
        <f t="shared" si="39"/>
        <v>41</v>
      </c>
      <c r="AC109" s="52">
        <f t="shared" si="39"/>
        <v>1</v>
      </c>
      <c r="AD109" s="52">
        <f t="shared" si="39"/>
        <v>0</v>
      </c>
      <c r="AE109" s="52">
        <f t="shared" si="39"/>
        <v>6</v>
      </c>
      <c r="AF109" s="53">
        <f t="shared" si="39"/>
        <v>0</v>
      </c>
      <c r="AG109" s="53">
        <f t="shared" si="39"/>
        <v>0</v>
      </c>
      <c r="AH109" s="53">
        <f t="shared" si="39"/>
        <v>0</v>
      </c>
      <c r="AI109" s="53">
        <f t="shared" si="39"/>
        <v>4</v>
      </c>
      <c r="AJ109" s="53">
        <f t="shared" si="39"/>
        <v>8</v>
      </c>
      <c r="AK109" s="53">
        <f t="shared" si="39"/>
        <v>4</v>
      </c>
      <c r="AL109" s="53">
        <f t="shared" si="39"/>
        <v>5</v>
      </c>
      <c r="AM109" s="53">
        <f t="shared" si="39"/>
        <v>4</v>
      </c>
      <c r="AN109" s="52">
        <f t="shared" si="39"/>
        <v>10</v>
      </c>
      <c r="AO109" s="53">
        <f t="shared" si="39"/>
        <v>0</v>
      </c>
      <c r="AP109" s="53">
        <f t="shared" si="39"/>
        <v>2</v>
      </c>
      <c r="AQ109" s="54">
        <f t="shared" si="39"/>
        <v>700</v>
      </c>
    </row>
    <row r="110" spans="1:43" ht="18.899999999999999" customHeight="1">
      <c r="A110" s="57" t="s">
        <v>120</v>
      </c>
      <c r="B110" s="40">
        <v>32</v>
      </c>
      <c r="C110" s="41">
        <v>25</v>
      </c>
      <c r="D110" s="41">
        <v>0</v>
      </c>
      <c r="E110" s="41">
        <v>7</v>
      </c>
      <c r="F110" s="41">
        <v>0</v>
      </c>
      <c r="G110" s="41">
        <v>0</v>
      </c>
      <c r="H110" s="41">
        <v>0</v>
      </c>
      <c r="I110" s="41">
        <v>0</v>
      </c>
      <c r="J110" s="41">
        <v>0</v>
      </c>
      <c r="K110" s="42">
        <v>0</v>
      </c>
      <c r="L110" s="42">
        <v>0</v>
      </c>
      <c r="M110" s="42">
        <v>0</v>
      </c>
      <c r="N110" s="42">
        <v>0</v>
      </c>
      <c r="O110" s="42">
        <v>2</v>
      </c>
      <c r="P110" s="42">
        <v>0</v>
      </c>
      <c r="Q110" s="42">
        <v>1</v>
      </c>
      <c r="R110" s="42">
        <v>2</v>
      </c>
      <c r="S110" s="41">
        <v>0</v>
      </c>
      <c r="T110" s="42">
        <v>0</v>
      </c>
      <c r="U110" s="42">
        <v>0</v>
      </c>
      <c r="V110" s="43">
        <f t="shared" ref="V110:V113" si="40">SUM(B110:U110)</f>
        <v>69</v>
      </c>
      <c r="W110" s="40">
        <v>38</v>
      </c>
      <c r="X110" s="41">
        <v>25</v>
      </c>
      <c r="Y110" s="41">
        <v>0</v>
      </c>
      <c r="Z110" s="41">
        <v>6</v>
      </c>
      <c r="AA110" s="41">
        <v>31</v>
      </c>
      <c r="AB110" s="41">
        <v>5</v>
      </c>
      <c r="AC110" s="41">
        <v>1</v>
      </c>
      <c r="AD110" s="41">
        <v>0</v>
      </c>
      <c r="AE110" s="41">
        <v>1</v>
      </c>
      <c r="AF110" s="42">
        <v>0</v>
      </c>
      <c r="AG110" s="42">
        <v>0</v>
      </c>
      <c r="AH110" s="42">
        <v>0</v>
      </c>
      <c r="AI110" s="42">
        <v>0</v>
      </c>
      <c r="AJ110" s="42">
        <v>2</v>
      </c>
      <c r="AK110" s="42">
        <v>2</v>
      </c>
      <c r="AL110" s="42">
        <v>4</v>
      </c>
      <c r="AM110" s="42">
        <v>0</v>
      </c>
      <c r="AN110" s="41">
        <v>2</v>
      </c>
      <c r="AO110" s="42">
        <v>0</v>
      </c>
      <c r="AP110" s="42">
        <v>0</v>
      </c>
      <c r="AQ110" s="43">
        <f t="shared" ref="AQ110:AQ113" si="41">SUM(W110:AP110)</f>
        <v>117</v>
      </c>
    </row>
    <row r="111" spans="1:43" ht="18.899999999999999" customHeight="1">
      <c r="A111" s="44" t="s">
        <v>121</v>
      </c>
      <c r="B111" s="45">
        <v>30</v>
      </c>
      <c r="C111" s="46">
        <v>19</v>
      </c>
      <c r="D111" s="46">
        <v>0</v>
      </c>
      <c r="E111" s="46">
        <v>6</v>
      </c>
      <c r="F111" s="46">
        <v>0</v>
      </c>
      <c r="G111" s="46">
        <v>0</v>
      </c>
      <c r="H111" s="46">
        <v>0</v>
      </c>
      <c r="I111" s="46">
        <v>0</v>
      </c>
      <c r="J111" s="46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3</v>
      </c>
      <c r="P111" s="47">
        <v>1</v>
      </c>
      <c r="Q111" s="47">
        <v>2</v>
      </c>
      <c r="R111" s="47">
        <v>1</v>
      </c>
      <c r="S111" s="46">
        <v>1</v>
      </c>
      <c r="T111" s="47">
        <v>0</v>
      </c>
      <c r="U111" s="47">
        <v>0</v>
      </c>
      <c r="V111" s="48">
        <f t="shared" si="40"/>
        <v>63</v>
      </c>
      <c r="W111" s="45">
        <v>33</v>
      </c>
      <c r="X111" s="46">
        <v>27</v>
      </c>
      <c r="Y111" s="46">
        <v>0</v>
      </c>
      <c r="Z111" s="46">
        <v>8</v>
      </c>
      <c r="AA111" s="46">
        <v>22</v>
      </c>
      <c r="AB111" s="46">
        <v>4</v>
      </c>
      <c r="AC111" s="46">
        <v>1</v>
      </c>
      <c r="AD111" s="46">
        <v>0</v>
      </c>
      <c r="AE111" s="46">
        <v>1</v>
      </c>
      <c r="AF111" s="47">
        <v>0</v>
      </c>
      <c r="AG111" s="47">
        <v>1</v>
      </c>
      <c r="AH111" s="47">
        <v>0</v>
      </c>
      <c r="AI111" s="47">
        <v>1</v>
      </c>
      <c r="AJ111" s="47">
        <v>7</v>
      </c>
      <c r="AK111" s="47">
        <v>2</v>
      </c>
      <c r="AL111" s="47">
        <v>5</v>
      </c>
      <c r="AM111" s="47">
        <v>1</v>
      </c>
      <c r="AN111" s="46">
        <v>1</v>
      </c>
      <c r="AO111" s="47">
        <v>0</v>
      </c>
      <c r="AP111" s="47">
        <v>1</v>
      </c>
      <c r="AQ111" s="48">
        <f t="shared" si="41"/>
        <v>115</v>
      </c>
    </row>
    <row r="112" spans="1:43" ht="18.899999999999999" customHeight="1">
      <c r="A112" s="44" t="s">
        <v>122</v>
      </c>
      <c r="B112" s="45">
        <v>25</v>
      </c>
      <c r="C112" s="46">
        <v>15</v>
      </c>
      <c r="D112" s="46">
        <v>0</v>
      </c>
      <c r="E112" s="46">
        <v>4</v>
      </c>
      <c r="F112" s="46">
        <v>0</v>
      </c>
      <c r="G112" s="46">
        <v>0</v>
      </c>
      <c r="H112" s="46">
        <v>0</v>
      </c>
      <c r="I112" s="46">
        <v>0</v>
      </c>
      <c r="J112" s="46">
        <v>0</v>
      </c>
      <c r="K112" s="47">
        <v>0</v>
      </c>
      <c r="L112" s="47">
        <v>0</v>
      </c>
      <c r="M112" s="47">
        <v>0</v>
      </c>
      <c r="N112" s="47">
        <v>0</v>
      </c>
      <c r="O112" s="47">
        <v>2</v>
      </c>
      <c r="P112" s="47">
        <v>0</v>
      </c>
      <c r="Q112" s="47">
        <v>1</v>
      </c>
      <c r="R112" s="47">
        <v>0</v>
      </c>
      <c r="S112" s="46">
        <v>0</v>
      </c>
      <c r="T112" s="47">
        <v>0</v>
      </c>
      <c r="U112" s="47">
        <v>0</v>
      </c>
      <c r="V112" s="48">
        <f t="shared" si="40"/>
        <v>47</v>
      </c>
      <c r="W112" s="45">
        <v>29</v>
      </c>
      <c r="X112" s="46">
        <v>24</v>
      </c>
      <c r="Y112" s="46">
        <v>0</v>
      </c>
      <c r="Z112" s="46">
        <v>4</v>
      </c>
      <c r="AA112" s="46">
        <v>3</v>
      </c>
      <c r="AB112" s="46">
        <v>2</v>
      </c>
      <c r="AC112" s="46">
        <v>0</v>
      </c>
      <c r="AD112" s="46">
        <v>0</v>
      </c>
      <c r="AE112" s="46">
        <v>0</v>
      </c>
      <c r="AF112" s="47">
        <v>0</v>
      </c>
      <c r="AG112" s="47">
        <v>0</v>
      </c>
      <c r="AH112" s="47">
        <v>0</v>
      </c>
      <c r="AI112" s="47">
        <v>1</v>
      </c>
      <c r="AJ112" s="47">
        <v>4</v>
      </c>
      <c r="AK112" s="47">
        <v>3</v>
      </c>
      <c r="AL112" s="47">
        <v>3</v>
      </c>
      <c r="AM112" s="47">
        <v>1</v>
      </c>
      <c r="AN112" s="46">
        <v>1</v>
      </c>
      <c r="AO112" s="47">
        <v>0</v>
      </c>
      <c r="AP112" s="47">
        <v>2</v>
      </c>
      <c r="AQ112" s="48">
        <f t="shared" si="41"/>
        <v>77</v>
      </c>
    </row>
    <row r="113" spans="1:43" ht="18.899999999999999" customHeight="1" thickBot="1">
      <c r="A113" s="49" t="s">
        <v>123</v>
      </c>
      <c r="B113" s="45">
        <v>122</v>
      </c>
      <c r="C113" s="46">
        <v>89</v>
      </c>
      <c r="D113" s="46">
        <v>0</v>
      </c>
      <c r="E113" s="46">
        <v>25</v>
      </c>
      <c r="F113" s="46">
        <v>0</v>
      </c>
      <c r="G113" s="46">
        <v>0</v>
      </c>
      <c r="H113" s="46">
        <v>0</v>
      </c>
      <c r="I113" s="46">
        <v>0</v>
      </c>
      <c r="J113" s="46">
        <v>0</v>
      </c>
      <c r="K113" s="47">
        <v>0</v>
      </c>
      <c r="L113" s="47">
        <v>0</v>
      </c>
      <c r="M113" s="47">
        <v>0</v>
      </c>
      <c r="N113" s="47">
        <v>1</v>
      </c>
      <c r="O113" s="47">
        <v>8</v>
      </c>
      <c r="P113" s="47">
        <v>1</v>
      </c>
      <c r="Q113" s="47">
        <v>6</v>
      </c>
      <c r="R113" s="47">
        <v>6</v>
      </c>
      <c r="S113" s="46">
        <v>1</v>
      </c>
      <c r="T113" s="47">
        <v>0</v>
      </c>
      <c r="U113" s="47">
        <v>0</v>
      </c>
      <c r="V113" s="48">
        <f t="shared" si="40"/>
        <v>259</v>
      </c>
      <c r="W113" s="45">
        <v>22</v>
      </c>
      <c r="X113" s="46">
        <v>19</v>
      </c>
      <c r="Y113" s="46">
        <v>0</v>
      </c>
      <c r="Z113" s="46">
        <v>1</v>
      </c>
      <c r="AA113" s="46">
        <v>0</v>
      </c>
      <c r="AB113" s="46">
        <v>2</v>
      </c>
      <c r="AC113" s="46">
        <v>0</v>
      </c>
      <c r="AD113" s="46">
        <v>0</v>
      </c>
      <c r="AE113" s="46">
        <v>1</v>
      </c>
      <c r="AF113" s="47">
        <v>0</v>
      </c>
      <c r="AG113" s="47">
        <v>1</v>
      </c>
      <c r="AH113" s="47">
        <v>0</v>
      </c>
      <c r="AI113" s="47">
        <v>1</v>
      </c>
      <c r="AJ113" s="47">
        <v>1</v>
      </c>
      <c r="AK113" s="47">
        <v>1</v>
      </c>
      <c r="AL113" s="47">
        <v>2</v>
      </c>
      <c r="AM113" s="47">
        <v>3</v>
      </c>
      <c r="AN113" s="46">
        <v>1</v>
      </c>
      <c r="AO113" s="47">
        <v>0</v>
      </c>
      <c r="AP113" s="47">
        <v>0</v>
      </c>
      <c r="AQ113" s="48">
        <f t="shared" si="41"/>
        <v>55</v>
      </c>
    </row>
    <row r="114" spans="1:43" ht="18.899999999999999" customHeight="1" thickBot="1">
      <c r="A114" s="50" t="s">
        <v>47</v>
      </c>
      <c r="B114" s="51">
        <f t="shared" ref="B114:AQ114" si="42">SUM(B110:B113)</f>
        <v>209</v>
      </c>
      <c r="C114" s="52">
        <f t="shared" si="42"/>
        <v>148</v>
      </c>
      <c r="D114" s="52">
        <f t="shared" si="42"/>
        <v>0</v>
      </c>
      <c r="E114" s="52">
        <f t="shared" si="42"/>
        <v>42</v>
      </c>
      <c r="F114" s="52">
        <f t="shared" si="42"/>
        <v>0</v>
      </c>
      <c r="G114" s="52">
        <f t="shared" si="42"/>
        <v>0</v>
      </c>
      <c r="H114" s="52">
        <f t="shared" si="42"/>
        <v>0</v>
      </c>
      <c r="I114" s="52">
        <f t="shared" si="42"/>
        <v>0</v>
      </c>
      <c r="J114" s="52">
        <f t="shared" si="42"/>
        <v>0</v>
      </c>
      <c r="K114" s="53">
        <f t="shared" si="42"/>
        <v>0</v>
      </c>
      <c r="L114" s="53">
        <f t="shared" si="42"/>
        <v>0</v>
      </c>
      <c r="M114" s="53">
        <f t="shared" si="42"/>
        <v>0</v>
      </c>
      <c r="N114" s="53">
        <f t="shared" si="42"/>
        <v>1</v>
      </c>
      <c r="O114" s="53">
        <f t="shared" si="42"/>
        <v>15</v>
      </c>
      <c r="P114" s="53">
        <f t="shared" si="42"/>
        <v>2</v>
      </c>
      <c r="Q114" s="53">
        <f t="shared" si="42"/>
        <v>10</v>
      </c>
      <c r="R114" s="53">
        <f t="shared" si="42"/>
        <v>9</v>
      </c>
      <c r="S114" s="52">
        <f t="shared" si="42"/>
        <v>2</v>
      </c>
      <c r="T114" s="53">
        <f t="shared" si="42"/>
        <v>0</v>
      </c>
      <c r="U114" s="53">
        <f t="shared" si="42"/>
        <v>0</v>
      </c>
      <c r="V114" s="54">
        <f t="shared" si="42"/>
        <v>438</v>
      </c>
      <c r="W114" s="51">
        <f t="shared" si="42"/>
        <v>122</v>
      </c>
      <c r="X114" s="52">
        <f t="shared" si="42"/>
        <v>95</v>
      </c>
      <c r="Y114" s="52">
        <f t="shared" si="42"/>
        <v>0</v>
      </c>
      <c r="Z114" s="52">
        <f t="shared" si="42"/>
        <v>19</v>
      </c>
      <c r="AA114" s="52">
        <f t="shared" si="42"/>
        <v>56</v>
      </c>
      <c r="AB114" s="52">
        <f t="shared" si="42"/>
        <v>13</v>
      </c>
      <c r="AC114" s="52">
        <f t="shared" si="42"/>
        <v>2</v>
      </c>
      <c r="AD114" s="52">
        <f t="shared" si="42"/>
        <v>0</v>
      </c>
      <c r="AE114" s="52">
        <f t="shared" si="42"/>
        <v>3</v>
      </c>
      <c r="AF114" s="53">
        <f t="shared" si="42"/>
        <v>0</v>
      </c>
      <c r="AG114" s="53">
        <f t="shared" si="42"/>
        <v>2</v>
      </c>
      <c r="AH114" s="53">
        <f t="shared" si="42"/>
        <v>0</v>
      </c>
      <c r="AI114" s="53">
        <f t="shared" si="42"/>
        <v>3</v>
      </c>
      <c r="AJ114" s="53">
        <f t="shared" si="42"/>
        <v>14</v>
      </c>
      <c r="AK114" s="53">
        <f t="shared" si="42"/>
        <v>8</v>
      </c>
      <c r="AL114" s="53">
        <f t="shared" si="42"/>
        <v>14</v>
      </c>
      <c r="AM114" s="53">
        <f t="shared" si="42"/>
        <v>5</v>
      </c>
      <c r="AN114" s="52">
        <f t="shared" si="42"/>
        <v>5</v>
      </c>
      <c r="AO114" s="53">
        <f t="shared" si="42"/>
        <v>0</v>
      </c>
      <c r="AP114" s="53">
        <f t="shared" si="42"/>
        <v>3</v>
      </c>
      <c r="AQ114" s="54">
        <f t="shared" si="42"/>
        <v>364</v>
      </c>
    </row>
    <row r="115" spans="1:43" ht="18.899999999999999" customHeight="1">
      <c r="A115" s="39" t="s">
        <v>124</v>
      </c>
      <c r="B115" s="40">
        <v>10</v>
      </c>
      <c r="C115" s="41">
        <v>13</v>
      </c>
      <c r="D115" s="41">
        <v>0</v>
      </c>
      <c r="E115" s="41">
        <v>1</v>
      </c>
      <c r="F115" s="41">
        <v>0</v>
      </c>
      <c r="G115" s="41">
        <v>0</v>
      </c>
      <c r="H115" s="41">
        <v>0</v>
      </c>
      <c r="I115" s="41">
        <v>0</v>
      </c>
      <c r="J115" s="41">
        <v>0</v>
      </c>
      <c r="K115" s="42">
        <v>0</v>
      </c>
      <c r="L115" s="42">
        <v>0</v>
      </c>
      <c r="M115" s="42">
        <v>0</v>
      </c>
      <c r="N115" s="42">
        <v>0</v>
      </c>
      <c r="O115" s="42">
        <v>2</v>
      </c>
      <c r="P115" s="42">
        <v>3</v>
      </c>
      <c r="Q115" s="42">
        <v>2</v>
      </c>
      <c r="R115" s="42">
        <v>2</v>
      </c>
      <c r="S115" s="41">
        <v>0</v>
      </c>
      <c r="T115" s="42">
        <v>0</v>
      </c>
      <c r="U115" s="42">
        <v>0</v>
      </c>
      <c r="V115" s="43">
        <f t="shared" ref="V115:V118" si="43">SUM(B115:U115)</f>
        <v>33</v>
      </c>
      <c r="W115" s="40">
        <v>15</v>
      </c>
      <c r="X115" s="41">
        <v>11</v>
      </c>
      <c r="Y115" s="41">
        <v>0</v>
      </c>
      <c r="Z115" s="41">
        <v>2</v>
      </c>
      <c r="AA115" s="41">
        <v>0</v>
      </c>
      <c r="AB115" s="41">
        <v>1</v>
      </c>
      <c r="AC115" s="41">
        <v>0</v>
      </c>
      <c r="AD115" s="41">
        <v>0</v>
      </c>
      <c r="AE115" s="41">
        <v>0</v>
      </c>
      <c r="AF115" s="42">
        <v>0</v>
      </c>
      <c r="AG115" s="42">
        <v>0</v>
      </c>
      <c r="AH115" s="42">
        <v>0</v>
      </c>
      <c r="AI115" s="42">
        <v>0</v>
      </c>
      <c r="AJ115" s="42">
        <v>0</v>
      </c>
      <c r="AK115" s="42">
        <v>3</v>
      </c>
      <c r="AL115" s="42">
        <v>2</v>
      </c>
      <c r="AM115" s="42">
        <v>2</v>
      </c>
      <c r="AN115" s="41">
        <v>0</v>
      </c>
      <c r="AO115" s="42">
        <v>0</v>
      </c>
      <c r="AP115" s="42">
        <v>0</v>
      </c>
      <c r="AQ115" s="43">
        <f t="shared" ref="AQ115:AQ118" si="44">SUM(W115:AP115)</f>
        <v>36</v>
      </c>
    </row>
    <row r="116" spans="1:43" ht="18.899999999999999" customHeight="1">
      <c r="A116" s="44" t="s">
        <v>125</v>
      </c>
      <c r="B116" s="45">
        <v>8</v>
      </c>
      <c r="C116" s="46">
        <v>15</v>
      </c>
      <c r="D116" s="46">
        <v>0</v>
      </c>
      <c r="E116" s="46">
        <v>0</v>
      </c>
      <c r="F116" s="46">
        <v>0</v>
      </c>
      <c r="G116" s="46">
        <v>1</v>
      </c>
      <c r="H116" s="46">
        <v>0</v>
      </c>
      <c r="I116" s="46">
        <v>0</v>
      </c>
      <c r="J116" s="46">
        <v>1</v>
      </c>
      <c r="K116" s="47">
        <v>0</v>
      </c>
      <c r="L116" s="47">
        <v>0</v>
      </c>
      <c r="M116" s="47">
        <v>0</v>
      </c>
      <c r="N116" s="47">
        <v>0</v>
      </c>
      <c r="O116" s="47">
        <v>1</v>
      </c>
      <c r="P116" s="47">
        <v>1</v>
      </c>
      <c r="Q116" s="47">
        <v>3</v>
      </c>
      <c r="R116" s="47">
        <v>1</v>
      </c>
      <c r="S116" s="46">
        <v>1</v>
      </c>
      <c r="T116" s="47">
        <v>0</v>
      </c>
      <c r="U116" s="47">
        <v>1</v>
      </c>
      <c r="V116" s="48">
        <f t="shared" si="43"/>
        <v>33</v>
      </c>
      <c r="W116" s="45">
        <v>15</v>
      </c>
      <c r="X116" s="46">
        <v>17</v>
      </c>
      <c r="Y116" s="46">
        <v>0</v>
      </c>
      <c r="Z116" s="46">
        <v>2</v>
      </c>
      <c r="AA116" s="46">
        <v>1</v>
      </c>
      <c r="AB116" s="46">
        <v>0</v>
      </c>
      <c r="AC116" s="46">
        <v>0</v>
      </c>
      <c r="AD116" s="46">
        <v>0</v>
      </c>
      <c r="AE116" s="46">
        <v>1</v>
      </c>
      <c r="AF116" s="47">
        <v>0</v>
      </c>
      <c r="AG116" s="47">
        <v>0</v>
      </c>
      <c r="AH116" s="47">
        <v>0</v>
      </c>
      <c r="AI116" s="47">
        <v>1</v>
      </c>
      <c r="AJ116" s="47">
        <v>6</v>
      </c>
      <c r="AK116" s="47">
        <v>4</v>
      </c>
      <c r="AL116" s="47">
        <v>1</v>
      </c>
      <c r="AM116" s="47">
        <v>2</v>
      </c>
      <c r="AN116" s="46">
        <v>1</v>
      </c>
      <c r="AO116" s="47">
        <v>0</v>
      </c>
      <c r="AP116" s="47">
        <v>0</v>
      </c>
      <c r="AQ116" s="48">
        <f t="shared" si="44"/>
        <v>51</v>
      </c>
    </row>
    <row r="117" spans="1:43" ht="18.899999999999999" customHeight="1">
      <c r="A117" s="44" t="s">
        <v>126</v>
      </c>
      <c r="B117" s="45">
        <v>11</v>
      </c>
      <c r="C117" s="46">
        <v>11</v>
      </c>
      <c r="D117" s="46">
        <v>0</v>
      </c>
      <c r="E117" s="46">
        <v>2</v>
      </c>
      <c r="F117" s="46">
        <v>0</v>
      </c>
      <c r="G117" s="46">
        <v>0</v>
      </c>
      <c r="H117" s="46">
        <v>0</v>
      </c>
      <c r="I117" s="46">
        <v>0</v>
      </c>
      <c r="J117" s="46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2</v>
      </c>
      <c r="P117" s="47">
        <v>2</v>
      </c>
      <c r="Q117" s="47">
        <v>3</v>
      </c>
      <c r="R117" s="47">
        <v>2</v>
      </c>
      <c r="S117" s="46">
        <v>0</v>
      </c>
      <c r="T117" s="47">
        <v>0</v>
      </c>
      <c r="U117" s="47">
        <v>0</v>
      </c>
      <c r="V117" s="48">
        <f t="shared" si="43"/>
        <v>33</v>
      </c>
      <c r="W117" s="45">
        <v>14</v>
      </c>
      <c r="X117" s="46">
        <v>4</v>
      </c>
      <c r="Y117" s="46">
        <v>0</v>
      </c>
      <c r="Z117" s="46">
        <v>3</v>
      </c>
      <c r="AA117" s="46">
        <v>0</v>
      </c>
      <c r="AB117" s="46">
        <v>2</v>
      </c>
      <c r="AC117" s="46">
        <v>0</v>
      </c>
      <c r="AD117" s="46">
        <v>0</v>
      </c>
      <c r="AE117" s="46">
        <v>0</v>
      </c>
      <c r="AF117" s="47">
        <v>0</v>
      </c>
      <c r="AG117" s="47">
        <v>0</v>
      </c>
      <c r="AH117" s="47">
        <v>0</v>
      </c>
      <c r="AI117" s="47">
        <v>1</v>
      </c>
      <c r="AJ117" s="47">
        <v>1</v>
      </c>
      <c r="AK117" s="47">
        <v>1</v>
      </c>
      <c r="AL117" s="47">
        <v>2</v>
      </c>
      <c r="AM117" s="47">
        <v>1</v>
      </c>
      <c r="AN117" s="46">
        <v>0</v>
      </c>
      <c r="AO117" s="47">
        <v>0</v>
      </c>
      <c r="AP117" s="47">
        <v>1</v>
      </c>
      <c r="AQ117" s="48">
        <f t="shared" si="44"/>
        <v>30</v>
      </c>
    </row>
    <row r="118" spans="1:43" ht="18.899999999999999" customHeight="1" thickBot="1">
      <c r="A118" s="49" t="s">
        <v>127</v>
      </c>
      <c r="B118" s="45">
        <v>42</v>
      </c>
      <c r="C118" s="46">
        <v>50</v>
      </c>
      <c r="D118" s="46">
        <v>0</v>
      </c>
      <c r="E118" s="46">
        <v>6</v>
      </c>
      <c r="F118" s="46">
        <v>1</v>
      </c>
      <c r="G118" s="46">
        <v>2</v>
      </c>
      <c r="H118" s="46">
        <v>0</v>
      </c>
      <c r="I118" s="46">
        <v>0</v>
      </c>
      <c r="J118" s="46">
        <v>1</v>
      </c>
      <c r="K118" s="47">
        <v>0</v>
      </c>
      <c r="L118" s="47">
        <v>0</v>
      </c>
      <c r="M118" s="47">
        <v>0</v>
      </c>
      <c r="N118" s="47">
        <v>1</v>
      </c>
      <c r="O118" s="47">
        <v>6</v>
      </c>
      <c r="P118" s="47">
        <v>11</v>
      </c>
      <c r="Q118" s="47">
        <v>12</v>
      </c>
      <c r="R118" s="47">
        <v>6</v>
      </c>
      <c r="S118" s="46">
        <v>1</v>
      </c>
      <c r="T118" s="47">
        <v>0</v>
      </c>
      <c r="U118" s="47">
        <v>1</v>
      </c>
      <c r="V118" s="48">
        <f t="shared" si="43"/>
        <v>140</v>
      </c>
      <c r="W118" s="45">
        <v>5</v>
      </c>
      <c r="X118" s="46">
        <v>8</v>
      </c>
      <c r="Y118" s="46">
        <v>0</v>
      </c>
      <c r="Z118" s="46">
        <v>1</v>
      </c>
      <c r="AA118" s="46">
        <v>0</v>
      </c>
      <c r="AB118" s="46">
        <v>2</v>
      </c>
      <c r="AC118" s="46">
        <v>0</v>
      </c>
      <c r="AD118" s="46">
        <v>0</v>
      </c>
      <c r="AE118" s="46">
        <v>1</v>
      </c>
      <c r="AF118" s="47">
        <v>0</v>
      </c>
      <c r="AG118" s="47">
        <v>0</v>
      </c>
      <c r="AH118" s="47">
        <v>0</v>
      </c>
      <c r="AI118" s="47">
        <v>0</v>
      </c>
      <c r="AJ118" s="47">
        <v>0</v>
      </c>
      <c r="AK118" s="47">
        <v>0</v>
      </c>
      <c r="AL118" s="47">
        <v>2</v>
      </c>
      <c r="AM118" s="47">
        <v>0</v>
      </c>
      <c r="AN118" s="46">
        <v>0</v>
      </c>
      <c r="AO118" s="47">
        <v>0</v>
      </c>
      <c r="AP118" s="47">
        <v>0</v>
      </c>
      <c r="AQ118" s="48">
        <f t="shared" si="44"/>
        <v>19</v>
      </c>
    </row>
    <row r="119" spans="1:43" ht="18.899999999999999" customHeight="1" thickBot="1">
      <c r="A119" s="50" t="s">
        <v>47</v>
      </c>
      <c r="B119" s="51">
        <f t="shared" ref="B119:AQ119" si="45">SUM(B115:B118)</f>
        <v>71</v>
      </c>
      <c r="C119" s="52">
        <f t="shared" si="45"/>
        <v>89</v>
      </c>
      <c r="D119" s="52">
        <f t="shared" si="45"/>
        <v>0</v>
      </c>
      <c r="E119" s="52">
        <f t="shared" si="45"/>
        <v>9</v>
      </c>
      <c r="F119" s="52">
        <f t="shared" si="45"/>
        <v>1</v>
      </c>
      <c r="G119" s="52">
        <f t="shared" si="45"/>
        <v>3</v>
      </c>
      <c r="H119" s="52">
        <f t="shared" si="45"/>
        <v>0</v>
      </c>
      <c r="I119" s="52">
        <f t="shared" si="45"/>
        <v>0</v>
      </c>
      <c r="J119" s="52">
        <f t="shared" si="45"/>
        <v>2</v>
      </c>
      <c r="K119" s="53">
        <f t="shared" si="45"/>
        <v>0</v>
      </c>
      <c r="L119" s="53">
        <f t="shared" si="45"/>
        <v>0</v>
      </c>
      <c r="M119" s="53">
        <f t="shared" si="45"/>
        <v>0</v>
      </c>
      <c r="N119" s="53">
        <f t="shared" si="45"/>
        <v>1</v>
      </c>
      <c r="O119" s="53">
        <f t="shared" si="45"/>
        <v>11</v>
      </c>
      <c r="P119" s="53">
        <f t="shared" si="45"/>
        <v>17</v>
      </c>
      <c r="Q119" s="53">
        <f t="shared" si="45"/>
        <v>20</v>
      </c>
      <c r="R119" s="53">
        <f t="shared" si="45"/>
        <v>11</v>
      </c>
      <c r="S119" s="52">
        <f t="shared" si="45"/>
        <v>2</v>
      </c>
      <c r="T119" s="53">
        <f t="shared" si="45"/>
        <v>0</v>
      </c>
      <c r="U119" s="53">
        <f t="shared" si="45"/>
        <v>2</v>
      </c>
      <c r="V119" s="54">
        <f t="shared" si="45"/>
        <v>239</v>
      </c>
      <c r="W119" s="51">
        <f t="shared" si="45"/>
        <v>49</v>
      </c>
      <c r="X119" s="52">
        <f t="shared" si="45"/>
        <v>40</v>
      </c>
      <c r="Y119" s="52">
        <f t="shared" si="45"/>
        <v>0</v>
      </c>
      <c r="Z119" s="52">
        <f t="shared" si="45"/>
        <v>8</v>
      </c>
      <c r="AA119" s="52">
        <f t="shared" si="45"/>
        <v>1</v>
      </c>
      <c r="AB119" s="52">
        <f t="shared" si="45"/>
        <v>5</v>
      </c>
      <c r="AC119" s="52">
        <f t="shared" si="45"/>
        <v>0</v>
      </c>
      <c r="AD119" s="52">
        <f t="shared" si="45"/>
        <v>0</v>
      </c>
      <c r="AE119" s="52">
        <f t="shared" si="45"/>
        <v>2</v>
      </c>
      <c r="AF119" s="53">
        <f t="shared" si="45"/>
        <v>0</v>
      </c>
      <c r="AG119" s="53">
        <f t="shared" si="45"/>
        <v>0</v>
      </c>
      <c r="AH119" s="53">
        <f t="shared" si="45"/>
        <v>0</v>
      </c>
      <c r="AI119" s="53">
        <f t="shared" si="45"/>
        <v>2</v>
      </c>
      <c r="AJ119" s="53">
        <f t="shared" si="45"/>
        <v>7</v>
      </c>
      <c r="AK119" s="53">
        <f t="shared" si="45"/>
        <v>8</v>
      </c>
      <c r="AL119" s="53">
        <f t="shared" si="45"/>
        <v>7</v>
      </c>
      <c r="AM119" s="53">
        <f t="shared" si="45"/>
        <v>5</v>
      </c>
      <c r="AN119" s="52">
        <f t="shared" si="45"/>
        <v>1</v>
      </c>
      <c r="AO119" s="53">
        <f t="shared" si="45"/>
        <v>0</v>
      </c>
      <c r="AP119" s="53">
        <f t="shared" si="45"/>
        <v>1</v>
      </c>
      <c r="AQ119" s="54">
        <f t="shared" si="45"/>
        <v>136</v>
      </c>
    </row>
    <row r="120" spans="1:43" ht="18.899999999999999" customHeight="1">
      <c r="A120" s="55" t="s">
        <v>128</v>
      </c>
      <c r="B120" s="40">
        <v>10</v>
      </c>
      <c r="C120" s="41">
        <v>9</v>
      </c>
      <c r="D120" s="41">
        <v>0</v>
      </c>
      <c r="E120" s="41">
        <v>9</v>
      </c>
      <c r="F120" s="41">
        <v>0</v>
      </c>
      <c r="G120" s="41">
        <v>2</v>
      </c>
      <c r="H120" s="41">
        <v>0</v>
      </c>
      <c r="I120" s="41">
        <v>0</v>
      </c>
      <c r="J120" s="41">
        <v>2</v>
      </c>
      <c r="K120" s="42">
        <v>0</v>
      </c>
      <c r="L120" s="42">
        <v>0</v>
      </c>
      <c r="M120" s="42">
        <v>0</v>
      </c>
      <c r="N120" s="42">
        <v>0</v>
      </c>
      <c r="O120" s="42">
        <v>1</v>
      </c>
      <c r="P120" s="42">
        <v>1</v>
      </c>
      <c r="Q120" s="42">
        <v>3</v>
      </c>
      <c r="R120" s="42">
        <v>0</v>
      </c>
      <c r="S120" s="41">
        <v>0</v>
      </c>
      <c r="T120" s="42">
        <v>0</v>
      </c>
      <c r="U120" s="42">
        <v>0</v>
      </c>
      <c r="V120" s="43">
        <f t="shared" ref="V120:V123" si="46">SUM(B120:U120)</f>
        <v>37</v>
      </c>
      <c r="W120" s="40">
        <v>6</v>
      </c>
      <c r="X120" s="41">
        <v>9</v>
      </c>
      <c r="Y120" s="41">
        <v>0</v>
      </c>
      <c r="Z120" s="41">
        <v>4</v>
      </c>
      <c r="AA120" s="41">
        <v>1</v>
      </c>
      <c r="AB120" s="41">
        <v>0</v>
      </c>
      <c r="AC120" s="41">
        <v>0</v>
      </c>
      <c r="AD120" s="41">
        <v>0</v>
      </c>
      <c r="AE120" s="41">
        <v>0</v>
      </c>
      <c r="AF120" s="42">
        <v>0</v>
      </c>
      <c r="AG120" s="42">
        <v>0</v>
      </c>
      <c r="AH120" s="42">
        <v>0</v>
      </c>
      <c r="AI120" s="42">
        <v>0</v>
      </c>
      <c r="AJ120" s="42">
        <v>4</v>
      </c>
      <c r="AK120" s="42">
        <v>1</v>
      </c>
      <c r="AL120" s="42">
        <v>2</v>
      </c>
      <c r="AM120" s="42">
        <v>2</v>
      </c>
      <c r="AN120" s="41">
        <v>0</v>
      </c>
      <c r="AO120" s="42">
        <v>0</v>
      </c>
      <c r="AP120" s="42">
        <v>0</v>
      </c>
      <c r="AQ120" s="43">
        <f t="shared" ref="AQ120:AQ123" si="47">SUM(W120:AP120)</f>
        <v>29</v>
      </c>
    </row>
    <row r="121" spans="1:43" ht="18.899999999999999" customHeight="1">
      <c r="A121" s="44" t="s">
        <v>129</v>
      </c>
      <c r="B121" s="45">
        <v>11</v>
      </c>
      <c r="C121" s="46">
        <v>10</v>
      </c>
      <c r="D121" s="46">
        <v>0</v>
      </c>
      <c r="E121" s="46">
        <v>12</v>
      </c>
      <c r="F121" s="46">
        <v>0</v>
      </c>
      <c r="G121" s="46">
        <v>3</v>
      </c>
      <c r="H121" s="46">
        <v>0</v>
      </c>
      <c r="I121" s="46">
        <v>0</v>
      </c>
      <c r="J121" s="46">
        <v>3</v>
      </c>
      <c r="K121" s="47">
        <v>1</v>
      </c>
      <c r="L121" s="47">
        <v>0</v>
      </c>
      <c r="M121" s="47">
        <v>0</v>
      </c>
      <c r="N121" s="47">
        <v>0</v>
      </c>
      <c r="O121" s="47">
        <v>0</v>
      </c>
      <c r="P121" s="47">
        <v>0</v>
      </c>
      <c r="Q121" s="47">
        <v>4</v>
      </c>
      <c r="R121" s="47">
        <v>0</v>
      </c>
      <c r="S121" s="46">
        <v>1</v>
      </c>
      <c r="T121" s="47">
        <v>0</v>
      </c>
      <c r="U121" s="47">
        <v>0</v>
      </c>
      <c r="V121" s="48">
        <f t="shared" si="46"/>
        <v>45</v>
      </c>
      <c r="W121" s="45">
        <v>5</v>
      </c>
      <c r="X121" s="46">
        <v>9</v>
      </c>
      <c r="Y121" s="46">
        <v>0</v>
      </c>
      <c r="Z121" s="46">
        <v>2</v>
      </c>
      <c r="AA121" s="46">
        <v>1</v>
      </c>
      <c r="AB121" s="46">
        <v>3</v>
      </c>
      <c r="AC121" s="46">
        <v>0</v>
      </c>
      <c r="AD121" s="46">
        <v>0</v>
      </c>
      <c r="AE121" s="46">
        <v>0</v>
      </c>
      <c r="AF121" s="47">
        <v>0</v>
      </c>
      <c r="AG121" s="47">
        <v>0</v>
      </c>
      <c r="AH121" s="47">
        <v>0</v>
      </c>
      <c r="AI121" s="47">
        <v>0</v>
      </c>
      <c r="AJ121" s="47">
        <v>0</v>
      </c>
      <c r="AK121" s="47">
        <v>2</v>
      </c>
      <c r="AL121" s="47">
        <v>3</v>
      </c>
      <c r="AM121" s="47">
        <v>0</v>
      </c>
      <c r="AN121" s="46">
        <v>0</v>
      </c>
      <c r="AO121" s="47">
        <v>0</v>
      </c>
      <c r="AP121" s="47">
        <v>0</v>
      </c>
      <c r="AQ121" s="48">
        <f t="shared" si="47"/>
        <v>25</v>
      </c>
    </row>
    <row r="122" spans="1:43" ht="18.899999999999999" customHeight="1">
      <c r="A122" s="56" t="s">
        <v>130</v>
      </c>
      <c r="B122" s="45">
        <v>9</v>
      </c>
      <c r="C122" s="46">
        <v>9</v>
      </c>
      <c r="D122" s="46">
        <v>0</v>
      </c>
      <c r="E122" s="46">
        <v>10</v>
      </c>
      <c r="F122" s="46">
        <v>0</v>
      </c>
      <c r="G122" s="46">
        <v>5</v>
      </c>
      <c r="H122" s="46">
        <v>0</v>
      </c>
      <c r="I122" s="46">
        <v>0</v>
      </c>
      <c r="J122" s="46">
        <v>2</v>
      </c>
      <c r="K122" s="47">
        <v>0</v>
      </c>
      <c r="L122" s="47">
        <v>0</v>
      </c>
      <c r="M122" s="47">
        <v>0</v>
      </c>
      <c r="N122" s="47">
        <v>0</v>
      </c>
      <c r="O122" s="47">
        <v>0</v>
      </c>
      <c r="P122" s="47">
        <v>2</v>
      </c>
      <c r="Q122" s="47">
        <v>2</v>
      </c>
      <c r="R122" s="47">
        <v>0</v>
      </c>
      <c r="S122" s="46">
        <v>0</v>
      </c>
      <c r="T122" s="47">
        <v>0</v>
      </c>
      <c r="U122" s="47">
        <v>0</v>
      </c>
      <c r="V122" s="48">
        <f t="shared" si="46"/>
        <v>39</v>
      </c>
      <c r="W122" s="45">
        <v>4</v>
      </c>
      <c r="X122" s="46">
        <v>10</v>
      </c>
      <c r="Y122" s="46">
        <v>0</v>
      </c>
      <c r="Z122" s="46">
        <v>2</v>
      </c>
      <c r="AA122" s="46">
        <v>0</v>
      </c>
      <c r="AB122" s="46">
        <v>0</v>
      </c>
      <c r="AC122" s="46">
        <v>0</v>
      </c>
      <c r="AD122" s="46">
        <v>0</v>
      </c>
      <c r="AE122" s="46">
        <v>0</v>
      </c>
      <c r="AF122" s="47">
        <v>0</v>
      </c>
      <c r="AG122" s="47">
        <v>0</v>
      </c>
      <c r="AH122" s="47">
        <v>0</v>
      </c>
      <c r="AI122" s="47">
        <v>0</v>
      </c>
      <c r="AJ122" s="47">
        <v>7</v>
      </c>
      <c r="AK122" s="47">
        <v>4</v>
      </c>
      <c r="AL122" s="47">
        <v>2</v>
      </c>
      <c r="AM122" s="47">
        <v>1</v>
      </c>
      <c r="AN122" s="46">
        <v>1</v>
      </c>
      <c r="AO122" s="47">
        <v>0</v>
      </c>
      <c r="AP122" s="47">
        <v>0</v>
      </c>
      <c r="AQ122" s="48">
        <f t="shared" si="47"/>
        <v>31</v>
      </c>
    </row>
    <row r="123" spans="1:43" ht="18.899999999999999" customHeight="1" thickBot="1">
      <c r="A123" s="49" t="s">
        <v>131</v>
      </c>
      <c r="B123" s="45">
        <v>38</v>
      </c>
      <c r="C123" s="46">
        <v>36</v>
      </c>
      <c r="D123" s="46">
        <v>0</v>
      </c>
      <c r="E123" s="46">
        <v>36</v>
      </c>
      <c r="F123" s="46">
        <v>0</v>
      </c>
      <c r="G123" s="46">
        <v>12</v>
      </c>
      <c r="H123" s="46">
        <v>0</v>
      </c>
      <c r="I123" s="46">
        <v>0</v>
      </c>
      <c r="J123" s="46">
        <v>8</v>
      </c>
      <c r="K123" s="47">
        <v>1</v>
      </c>
      <c r="L123" s="47">
        <v>1</v>
      </c>
      <c r="M123" s="47">
        <v>0</v>
      </c>
      <c r="N123" s="47">
        <v>0</v>
      </c>
      <c r="O123" s="47">
        <v>3</v>
      </c>
      <c r="P123" s="47">
        <v>5</v>
      </c>
      <c r="Q123" s="47">
        <v>14</v>
      </c>
      <c r="R123" s="47">
        <v>0</v>
      </c>
      <c r="S123" s="46">
        <v>1</v>
      </c>
      <c r="T123" s="47">
        <v>0</v>
      </c>
      <c r="U123" s="47">
        <v>0</v>
      </c>
      <c r="V123" s="48">
        <f t="shared" si="46"/>
        <v>155</v>
      </c>
      <c r="W123" s="45">
        <v>14</v>
      </c>
      <c r="X123" s="46">
        <v>11</v>
      </c>
      <c r="Y123" s="46">
        <v>0</v>
      </c>
      <c r="Z123" s="46">
        <v>4</v>
      </c>
      <c r="AA123" s="46">
        <v>0</v>
      </c>
      <c r="AB123" s="46">
        <v>1</v>
      </c>
      <c r="AC123" s="46">
        <v>0</v>
      </c>
      <c r="AD123" s="46">
        <v>0</v>
      </c>
      <c r="AE123" s="46">
        <v>0</v>
      </c>
      <c r="AF123" s="47">
        <v>0</v>
      </c>
      <c r="AG123" s="47">
        <v>0</v>
      </c>
      <c r="AH123" s="47">
        <v>0</v>
      </c>
      <c r="AI123" s="47">
        <v>1</v>
      </c>
      <c r="AJ123" s="47">
        <v>0</v>
      </c>
      <c r="AK123" s="47">
        <v>1</v>
      </c>
      <c r="AL123" s="47">
        <v>1</v>
      </c>
      <c r="AM123" s="47">
        <v>3</v>
      </c>
      <c r="AN123" s="46">
        <v>1</v>
      </c>
      <c r="AO123" s="47">
        <v>0</v>
      </c>
      <c r="AP123" s="47">
        <v>2</v>
      </c>
      <c r="AQ123" s="48">
        <f t="shared" si="47"/>
        <v>39</v>
      </c>
    </row>
    <row r="124" spans="1:43" ht="18.899999999999999" customHeight="1" thickBot="1">
      <c r="A124" s="50" t="s">
        <v>47</v>
      </c>
      <c r="B124" s="51">
        <f t="shared" ref="B124:AQ124" si="48">SUM(B120:B123)</f>
        <v>68</v>
      </c>
      <c r="C124" s="52">
        <f t="shared" si="48"/>
        <v>64</v>
      </c>
      <c r="D124" s="52">
        <f t="shared" si="48"/>
        <v>0</v>
      </c>
      <c r="E124" s="52">
        <f t="shared" si="48"/>
        <v>67</v>
      </c>
      <c r="F124" s="52">
        <f t="shared" si="48"/>
        <v>0</v>
      </c>
      <c r="G124" s="52">
        <f t="shared" si="48"/>
        <v>22</v>
      </c>
      <c r="H124" s="52">
        <f t="shared" si="48"/>
        <v>0</v>
      </c>
      <c r="I124" s="52">
        <f t="shared" si="48"/>
        <v>0</v>
      </c>
      <c r="J124" s="52">
        <f t="shared" si="48"/>
        <v>15</v>
      </c>
      <c r="K124" s="53">
        <f t="shared" si="48"/>
        <v>2</v>
      </c>
      <c r="L124" s="53">
        <f t="shared" si="48"/>
        <v>1</v>
      </c>
      <c r="M124" s="53">
        <f t="shared" si="48"/>
        <v>0</v>
      </c>
      <c r="N124" s="53">
        <f t="shared" si="48"/>
        <v>0</v>
      </c>
      <c r="O124" s="53">
        <f t="shared" si="48"/>
        <v>4</v>
      </c>
      <c r="P124" s="53">
        <f t="shared" si="48"/>
        <v>8</v>
      </c>
      <c r="Q124" s="53">
        <f t="shared" si="48"/>
        <v>23</v>
      </c>
      <c r="R124" s="53">
        <f t="shared" si="48"/>
        <v>0</v>
      </c>
      <c r="S124" s="52">
        <f t="shared" si="48"/>
        <v>2</v>
      </c>
      <c r="T124" s="53">
        <f t="shared" si="48"/>
        <v>0</v>
      </c>
      <c r="U124" s="53">
        <f t="shared" si="48"/>
        <v>0</v>
      </c>
      <c r="V124" s="54">
        <f t="shared" si="48"/>
        <v>276</v>
      </c>
      <c r="W124" s="51">
        <f t="shared" si="48"/>
        <v>29</v>
      </c>
      <c r="X124" s="52">
        <f t="shared" si="48"/>
        <v>39</v>
      </c>
      <c r="Y124" s="52">
        <f t="shared" si="48"/>
        <v>0</v>
      </c>
      <c r="Z124" s="52">
        <f t="shared" si="48"/>
        <v>12</v>
      </c>
      <c r="AA124" s="52">
        <f t="shared" si="48"/>
        <v>2</v>
      </c>
      <c r="AB124" s="52">
        <f t="shared" si="48"/>
        <v>4</v>
      </c>
      <c r="AC124" s="52">
        <f t="shared" si="48"/>
        <v>0</v>
      </c>
      <c r="AD124" s="52">
        <f t="shared" si="48"/>
        <v>0</v>
      </c>
      <c r="AE124" s="52">
        <f t="shared" si="48"/>
        <v>0</v>
      </c>
      <c r="AF124" s="53">
        <f t="shared" si="48"/>
        <v>0</v>
      </c>
      <c r="AG124" s="53">
        <f t="shared" si="48"/>
        <v>0</v>
      </c>
      <c r="AH124" s="53">
        <f t="shared" si="48"/>
        <v>0</v>
      </c>
      <c r="AI124" s="53">
        <f t="shared" si="48"/>
        <v>1</v>
      </c>
      <c r="AJ124" s="53">
        <f t="shared" si="48"/>
        <v>11</v>
      </c>
      <c r="AK124" s="53">
        <f t="shared" si="48"/>
        <v>8</v>
      </c>
      <c r="AL124" s="53">
        <f t="shared" si="48"/>
        <v>8</v>
      </c>
      <c r="AM124" s="53">
        <f t="shared" si="48"/>
        <v>6</v>
      </c>
      <c r="AN124" s="52">
        <f t="shared" si="48"/>
        <v>2</v>
      </c>
      <c r="AO124" s="53">
        <f t="shared" si="48"/>
        <v>0</v>
      </c>
      <c r="AP124" s="53">
        <f t="shared" si="48"/>
        <v>2</v>
      </c>
      <c r="AQ124" s="54">
        <f t="shared" si="48"/>
        <v>124</v>
      </c>
    </row>
    <row r="125" spans="1:43" ht="18.899999999999999" customHeight="1">
      <c r="A125" s="55" t="s">
        <v>132</v>
      </c>
      <c r="B125" s="40">
        <v>14</v>
      </c>
      <c r="C125" s="41">
        <v>4</v>
      </c>
      <c r="D125" s="41">
        <v>0</v>
      </c>
      <c r="E125" s="41">
        <v>15</v>
      </c>
      <c r="F125" s="41">
        <v>0</v>
      </c>
      <c r="G125" s="41">
        <v>4</v>
      </c>
      <c r="H125" s="41">
        <v>0</v>
      </c>
      <c r="I125" s="41">
        <v>0</v>
      </c>
      <c r="J125" s="41">
        <v>1</v>
      </c>
      <c r="K125" s="42">
        <v>0</v>
      </c>
      <c r="L125" s="42">
        <v>0</v>
      </c>
      <c r="M125" s="42">
        <v>0</v>
      </c>
      <c r="N125" s="42">
        <v>0</v>
      </c>
      <c r="O125" s="42">
        <v>3</v>
      </c>
      <c r="P125" s="42">
        <v>0</v>
      </c>
      <c r="Q125" s="42">
        <v>0</v>
      </c>
      <c r="R125" s="42">
        <v>0</v>
      </c>
      <c r="S125" s="41">
        <v>0</v>
      </c>
      <c r="T125" s="42">
        <v>0</v>
      </c>
      <c r="U125" s="42">
        <v>0</v>
      </c>
      <c r="V125" s="43">
        <f t="shared" ref="V125:V128" si="49">SUM(B125:U125)</f>
        <v>41</v>
      </c>
      <c r="W125" s="40">
        <v>11</v>
      </c>
      <c r="X125" s="41">
        <v>10</v>
      </c>
      <c r="Y125" s="41">
        <v>0</v>
      </c>
      <c r="Z125" s="41">
        <v>0</v>
      </c>
      <c r="AA125" s="41">
        <v>0</v>
      </c>
      <c r="AB125" s="41">
        <v>1</v>
      </c>
      <c r="AC125" s="41">
        <v>1</v>
      </c>
      <c r="AD125" s="41">
        <v>0</v>
      </c>
      <c r="AE125" s="41">
        <v>0</v>
      </c>
      <c r="AF125" s="42">
        <v>0</v>
      </c>
      <c r="AG125" s="42">
        <v>0</v>
      </c>
      <c r="AH125" s="42">
        <v>0</v>
      </c>
      <c r="AI125" s="42">
        <v>1</v>
      </c>
      <c r="AJ125" s="42">
        <v>5</v>
      </c>
      <c r="AK125" s="42">
        <v>1</v>
      </c>
      <c r="AL125" s="42">
        <v>2</v>
      </c>
      <c r="AM125" s="42">
        <v>4</v>
      </c>
      <c r="AN125" s="41">
        <v>1</v>
      </c>
      <c r="AO125" s="42">
        <v>0</v>
      </c>
      <c r="AP125" s="42">
        <v>0</v>
      </c>
      <c r="AQ125" s="43">
        <f t="shared" ref="AQ125:AQ128" si="50">SUM(W125:AP125)</f>
        <v>37</v>
      </c>
    </row>
    <row r="126" spans="1:43" ht="18.899999999999999" customHeight="1">
      <c r="A126" s="44" t="s">
        <v>133</v>
      </c>
      <c r="B126" s="45">
        <v>19</v>
      </c>
      <c r="C126" s="46">
        <v>1</v>
      </c>
      <c r="D126" s="46">
        <v>0</v>
      </c>
      <c r="E126" s="46">
        <v>11</v>
      </c>
      <c r="F126" s="46">
        <v>0</v>
      </c>
      <c r="G126" s="46">
        <v>5</v>
      </c>
      <c r="H126" s="46">
        <v>0</v>
      </c>
      <c r="I126" s="46">
        <v>0</v>
      </c>
      <c r="J126" s="46">
        <v>2</v>
      </c>
      <c r="K126" s="47">
        <v>0</v>
      </c>
      <c r="L126" s="47">
        <v>0</v>
      </c>
      <c r="M126" s="47">
        <v>0</v>
      </c>
      <c r="N126" s="47">
        <v>0</v>
      </c>
      <c r="O126" s="47">
        <v>2</v>
      </c>
      <c r="P126" s="47">
        <v>0</v>
      </c>
      <c r="Q126" s="47">
        <v>0</v>
      </c>
      <c r="R126" s="47">
        <v>0</v>
      </c>
      <c r="S126" s="46">
        <v>0</v>
      </c>
      <c r="T126" s="47">
        <v>0</v>
      </c>
      <c r="U126" s="47">
        <v>0</v>
      </c>
      <c r="V126" s="48">
        <f t="shared" si="49"/>
        <v>40</v>
      </c>
      <c r="W126" s="45">
        <v>8</v>
      </c>
      <c r="X126" s="46">
        <v>9</v>
      </c>
      <c r="Y126" s="46">
        <v>0</v>
      </c>
      <c r="Z126" s="46">
        <v>4</v>
      </c>
      <c r="AA126" s="46">
        <v>1</v>
      </c>
      <c r="AB126" s="46">
        <v>2</v>
      </c>
      <c r="AC126" s="46">
        <v>0</v>
      </c>
      <c r="AD126" s="46">
        <v>0</v>
      </c>
      <c r="AE126" s="46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3</v>
      </c>
      <c r="AK126" s="47">
        <v>1</v>
      </c>
      <c r="AL126" s="47">
        <v>4</v>
      </c>
      <c r="AM126" s="47">
        <v>2</v>
      </c>
      <c r="AN126" s="46">
        <v>0</v>
      </c>
      <c r="AO126" s="47">
        <v>0</v>
      </c>
      <c r="AP126" s="47">
        <v>0</v>
      </c>
      <c r="AQ126" s="48">
        <f t="shared" si="50"/>
        <v>34</v>
      </c>
    </row>
    <row r="127" spans="1:43" ht="18.899999999999999" customHeight="1">
      <c r="A127" s="56" t="s">
        <v>134</v>
      </c>
      <c r="B127" s="45">
        <v>21</v>
      </c>
      <c r="C127" s="46">
        <v>7</v>
      </c>
      <c r="D127" s="46">
        <v>0</v>
      </c>
      <c r="E127" s="46">
        <v>10</v>
      </c>
      <c r="F127" s="46">
        <v>0</v>
      </c>
      <c r="G127" s="46">
        <v>6</v>
      </c>
      <c r="H127" s="46">
        <v>0</v>
      </c>
      <c r="I127" s="46">
        <v>0</v>
      </c>
      <c r="J127" s="46">
        <v>2</v>
      </c>
      <c r="K127" s="47">
        <v>0</v>
      </c>
      <c r="L127" s="47">
        <v>0</v>
      </c>
      <c r="M127" s="47">
        <v>0</v>
      </c>
      <c r="N127" s="47">
        <v>0</v>
      </c>
      <c r="O127" s="47">
        <v>1</v>
      </c>
      <c r="P127" s="47">
        <v>0</v>
      </c>
      <c r="Q127" s="47">
        <v>0</v>
      </c>
      <c r="R127" s="47">
        <v>0</v>
      </c>
      <c r="S127" s="46">
        <v>0</v>
      </c>
      <c r="T127" s="47">
        <v>0</v>
      </c>
      <c r="U127" s="47">
        <v>0</v>
      </c>
      <c r="V127" s="48">
        <f t="shared" si="49"/>
        <v>47</v>
      </c>
      <c r="W127" s="45">
        <v>14</v>
      </c>
      <c r="X127" s="46">
        <v>5</v>
      </c>
      <c r="Y127" s="46">
        <v>0</v>
      </c>
      <c r="Z127" s="46">
        <v>7</v>
      </c>
      <c r="AA127" s="46">
        <v>0</v>
      </c>
      <c r="AB127" s="46">
        <v>3</v>
      </c>
      <c r="AC127" s="46">
        <v>0</v>
      </c>
      <c r="AD127" s="46">
        <v>0</v>
      </c>
      <c r="AE127" s="46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5</v>
      </c>
      <c r="AK127" s="47">
        <v>1</v>
      </c>
      <c r="AL127" s="47">
        <v>2</v>
      </c>
      <c r="AM127" s="47">
        <v>2</v>
      </c>
      <c r="AN127" s="46">
        <v>0</v>
      </c>
      <c r="AO127" s="47">
        <v>0</v>
      </c>
      <c r="AP127" s="47">
        <v>0</v>
      </c>
      <c r="AQ127" s="48">
        <f t="shared" si="50"/>
        <v>39</v>
      </c>
    </row>
    <row r="128" spans="1:43" ht="18.899999999999999" customHeight="1" thickBot="1">
      <c r="A128" s="49" t="s">
        <v>135</v>
      </c>
      <c r="B128" s="45">
        <v>62</v>
      </c>
      <c r="C128" s="46">
        <v>19</v>
      </c>
      <c r="D128" s="46">
        <v>0</v>
      </c>
      <c r="E128" s="46">
        <v>48</v>
      </c>
      <c r="F128" s="46">
        <v>0</v>
      </c>
      <c r="G128" s="46">
        <v>18</v>
      </c>
      <c r="H128" s="46">
        <v>0</v>
      </c>
      <c r="I128" s="46">
        <v>0</v>
      </c>
      <c r="J128" s="46">
        <v>6</v>
      </c>
      <c r="K128" s="47">
        <v>0</v>
      </c>
      <c r="L128" s="47">
        <v>0</v>
      </c>
      <c r="M128" s="47">
        <v>0</v>
      </c>
      <c r="N128" s="47">
        <v>0</v>
      </c>
      <c r="O128" s="47">
        <v>7</v>
      </c>
      <c r="P128" s="47">
        <v>1</v>
      </c>
      <c r="Q128" s="47">
        <v>3</v>
      </c>
      <c r="R128" s="47">
        <v>0</v>
      </c>
      <c r="S128" s="46">
        <v>1</v>
      </c>
      <c r="T128" s="47">
        <v>0</v>
      </c>
      <c r="U128" s="47">
        <v>0</v>
      </c>
      <c r="V128" s="48">
        <f t="shared" si="49"/>
        <v>165</v>
      </c>
      <c r="W128" s="45">
        <v>19</v>
      </c>
      <c r="X128" s="46">
        <v>14</v>
      </c>
      <c r="Y128" s="46">
        <v>0</v>
      </c>
      <c r="Z128" s="46">
        <v>3</v>
      </c>
      <c r="AA128" s="46">
        <v>2</v>
      </c>
      <c r="AB128" s="46">
        <v>5</v>
      </c>
      <c r="AC128" s="46">
        <v>0</v>
      </c>
      <c r="AD128" s="46">
        <v>0</v>
      </c>
      <c r="AE128" s="46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4</v>
      </c>
      <c r="AK128" s="47">
        <v>0</v>
      </c>
      <c r="AL128" s="47">
        <v>2</v>
      </c>
      <c r="AM128" s="47">
        <v>0</v>
      </c>
      <c r="AN128" s="46">
        <v>0</v>
      </c>
      <c r="AO128" s="47">
        <v>0</v>
      </c>
      <c r="AP128" s="47">
        <v>1</v>
      </c>
      <c r="AQ128" s="48">
        <f t="shared" si="50"/>
        <v>50</v>
      </c>
    </row>
    <row r="129" spans="1:43" ht="18.899999999999999" customHeight="1" thickBot="1">
      <c r="A129" s="50" t="s">
        <v>47</v>
      </c>
      <c r="B129" s="51">
        <f t="shared" ref="B129:AQ129" si="51">SUM(B125:B128)</f>
        <v>116</v>
      </c>
      <c r="C129" s="52">
        <f t="shared" si="51"/>
        <v>31</v>
      </c>
      <c r="D129" s="52">
        <f t="shared" si="51"/>
        <v>0</v>
      </c>
      <c r="E129" s="52">
        <f t="shared" si="51"/>
        <v>84</v>
      </c>
      <c r="F129" s="52">
        <f t="shared" si="51"/>
        <v>0</v>
      </c>
      <c r="G129" s="52">
        <f t="shared" si="51"/>
        <v>33</v>
      </c>
      <c r="H129" s="52">
        <f t="shared" si="51"/>
        <v>0</v>
      </c>
      <c r="I129" s="52">
        <f t="shared" si="51"/>
        <v>0</v>
      </c>
      <c r="J129" s="52">
        <f t="shared" si="51"/>
        <v>11</v>
      </c>
      <c r="K129" s="53">
        <f t="shared" si="51"/>
        <v>0</v>
      </c>
      <c r="L129" s="53">
        <f t="shared" si="51"/>
        <v>0</v>
      </c>
      <c r="M129" s="53">
        <f t="shared" si="51"/>
        <v>0</v>
      </c>
      <c r="N129" s="53">
        <f t="shared" si="51"/>
        <v>0</v>
      </c>
      <c r="O129" s="53">
        <f t="shared" si="51"/>
        <v>13</v>
      </c>
      <c r="P129" s="53">
        <f t="shared" si="51"/>
        <v>1</v>
      </c>
      <c r="Q129" s="53">
        <f t="shared" si="51"/>
        <v>3</v>
      </c>
      <c r="R129" s="53">
        <f t="shared" si="51"/>
        <v>0</v>
      </c>
      <c r="S129" s="52">
        <f t="shared" si="51"/>
        <v>1</v>
      </c>
      <c r="T129" s="53">
        <f t="shared" si="51"/>
        <v>0</v>
      </c>
      <c r="U129" s="53">
        <f t="shared" si="51"/>
        <v>0</v>
      </c>
      <c r="V129" s="54">
        <f t="shared" si="51"/>
        <v>293</v>
      </c>
      <c r="W129" s="51">
        <f t="shared" si="51"/>
        <v>52</v>
      </c>
      <c r="X129" s="52">
        <f t="shared" si="51"/>
        <v>38</v>
      </c>
      <c r="Y129" s="52">
        <f t="shared" si="51"/>
        <v>0</v>
      </c>
      <c r="Z129" s="52">
        <f t="shared" si="51"/>
        <v>14</v>
      </c>
      <c r="AA129" s="52">
        <f t="shared" si="51"/>
        <v>3</v>
      </c>
      <c r="AB129" s="52">
        <f t="shared" si="51"/>
        <v>11</v>
      </c>
      <c r="AC129" s="52">
        <f t="shared" si="51"/>
        <v>1</v>
      </c>
      <c r="AD129" s="52">
        <f t="shared" si="51"/>
        <v>0</v>
      </c>
      <c r="AE129" s="52">
        <f t="shared" si="51"/>
        <v>0</v>
      </c>
      <c r="AF129" s="53">
        <f t="shared" si="51"/>
        <v>0</v>
      </c>
      <c r="AG129" s="53">
        <f t="shared" si="51"/>
        <v>0</v>
      </c>
      <c r="AH129" s="53">
        <f t="shared" si="51"/>
        <v>0</v>
      </c>
      <c r="AI129" s="53">
        <f t="shared" si="51"/>
        <v>1</v>
      </c>
      <c r="AJ129" s="53">
        <f t="shared" si="51"/>
        <v>17</v>
      </c>
      <c r="AK129" s="53">
        <f t="shared" si="51"/>
        <v>3</v>
      </c>
      <c r="AL129" s="53">
        <f t="shared" si="51"/>
        <v>10</v>
      </c>
      <c r="AM129" s="53">
        <f t="shared" si="51"/>
        <v>8</v>
      </c>
      <c r="AN129" s="52">
        <f t="shared" si="51"/>
        <v>1</v>
      </c>
      <c r="AO129" s="53">
        <f t="shared" si="51"/>
        <v>0</v>
      </c>
      <c r="AP129" s="53">
        <f t="shared" si="51"/>
        <v>1</v>
      </c>
      <c r="AQ129" s="54">
        <f t="shared" si="51"/>
        <v>160</v>
      </c>
    </row>
    <row r="130" spans="1:43" ht="18.899999999999999" customHeight="1">
      <c r="A130" s="57" t="s">
        <v>136</v>
      </c>
      <c r="B130" s="40">
        <v>32</v>
      </c>
      <c r="C130" s="41">
        <v>19</v>
      </c>
      <c r="D130" s="41">
        <v>0</v>
      </c>
      <c r="E130" s="41">
        <v>9</v>
      </c>
      <c r="F130" s="41">
        <v>1</v>
      </c>
      <c r="G130" s="41">
        <v>8</v>
      </c>
      <c r="H130" s="41">
        <v>0</v>
      </c>
      <c r="I130" s="41">
        <v>0</v>
      </c>
      <c r="J130" s="41">
        <v>2</v>
      </c>
      <c r="K130" s="42">
        <v>0</v>
      </c>
      <c r="L130" s="42">
        <v>0</v>
      </c>
      <c r="M130" s="42">
        <v>0</v>
      </c>
      <c r="N130" s="42">
        <v>0</v>
      </c>
      <c r="O130" s="42">
        <v>2</v>
      </c>
      <c r="P130" s="42">
        <v>1</v>
      </c>
      <c r="Q130" s="42">
        <v>1</v>
      </c>
      <c r="R130" s="42">
        <v>0</v>
      </c>
      <c r="S130" s="41">
        <v>1</v>
      </c>
      <c r="T130" s="42">
        <v>0</v>
      </c>
      <c r="U130" s="42">
        <v>0</v>
      </c>
      <c r="V130" s="43">
        <f t="shared" ref="V130:V133" si="52">SUM(B130:U130)</f>
        <v>76</v>
      </c>
      <c r="W130" s="40">
        <v>16</v>
      </c>
      <c r="X130" s="41">
        <v>12</v>
      </c>
      <c r="Y130" s="41">
        <v>0</v>
      </c>
      <c r="Z130" s="41">
        <v>2</v>
      </c>
      <c r="AA130" s="41">
        <v>1</v>
      </c>
      <c r="AB130" s="41">
        <v>6</v>
      </c>
      <c r="AC130" s="41">
        <v>0</v>
      </c>
      <c r="AD130" s="41">
        <v>0</v>
      </c>
      <c r="AE130" s="41">
        <v>2</v>
      </c>
      <c r="AF130" s="42">
        <v>0</v>
      </c>
      <c r="AG130" s="42">
        <v>0</v>
      </c>
      <c r="AH130" s="42">
        <v>0</v>
      </c>
      <c r="AI130" s="42">
        <v>3</v>
      </c>
      <c r="AJ130" s="42">
        <v>6</v>
      </c>
      <c r="AK130" s="42">
        <v>0</v>
      </c>
      <c r="AL130" s="42">
        <v>2</v>
      </c>
      <c r="AM130" s="42">
        <v>1</v>
      </c>
      <c r="AN130" s="41">
        <v>1</v>
      </c>
      <c r="AO130" s="42">
        <v>0</v>
      </c>
      <c r="AP130" s="42">
        <v>0</v>
      </c>
      <c r="AQ130" s="43">
        <f t="shared" ref="AQ130:AQ133" si="53">SUM(W130:AP130)</f>
        <v>52</v>
      </c>
    </row>
    <row r="131" spans="1:43" ht="18.899999999999999" customHeight="1">
      <c r="A131" s="44" t="s">
        <v>137</v>
      </c>
      <c r="B131" s="45">
        <v>42</v>
      </c>
      <c r="C131" s="46">
        <v>26</v>
      </c>
      <c r="D131" s="46">
        <v>0</v>
      </c>
      <c r="E131" s="46">
        <v>6</v>
      </c>
      <c r="F131" s="46">
        <v>0</v>
      </c>
      <c r="G131" s="46">
        <v>7</v>
      </c>
      <c r="H131" s="46">
        <v>0</v>
      </c>
      <c r="I131" s="46">
        <v>0</v>
      </c>
      <c r="J131" s="46">
        <v>4</v>
      </c>
      <c r="K131" s="47">
        <v>1</v>
      </c>
      <c r="L131" s="47">
        <v>0</v>
      </c>
      <c r="M131" s="47">
        <v>0</v>
      </c>
      <c r="N131" s="47">
        <v>0</v>
      </c>
      <c r="O131" s="47">
        <v>3</v>
      </c>
      <c r="P131" s="47">
        <v>0</v>
      </c>
      <c r="Q131" s="47">
        <v>2</v>
      </c>
      <c r="R131" s="47">
        <v>0</v>
      </c>
      <c r="S131" s="46">
        <v>2</v>
      </c>
      <c r="T131" s="47">
        <v>0</v>
      </c>
      <c r="U131" s="47">
        <v>0</v>
      </c>
      <c r="V131" s="48">
        <f t="shared" si="52"/>
        <v>93</v>
      </c>
      <c r="W131" s="45">
        <v>40</v>
      </c>
      <c r="X131" s="46">
        <v>9</v>
      </c>
      <c r="Y131" s="46">
        <v>0</v>
      </c>
      <c r="Z131" s="46">
        <v>8</v>
      </c>
      <c r="AA131" s="46">
        <v>1</v>
      </c>
      <c r="AB131" s="46">
        <v>5</v>
      </c>
      <c r="AC131" s="46">
        <v>0</v>
      </c>
      <c r="AD131" s="46">
        <v>0</v>
      </c>
      <c r="AE131" s="46">
        <v>0</v>
      </c>
      <c r="AF131" s="47">
        <v>1</v>
      </c>
      <c r="AG131" s="47">
        <v>0</v>
      </c>
      <c r="AH131" s="47">
        <v>0</v>
      </c>
      <c r="AI131" s="47">
        <v>0</v>
      </c>
      <c r="AJ131" s="47">
        <v>8</v>
      </c>
      <c r="AK131" s="47">
        <v>0</v>
      </c>
      <c r="AL131" s="47">
        <v>2</v>
      </c>
      <c r="AM131" s="47">
        <v>1</v>
      </c>
      <c r="AN131" s="46">
        <v>0</v>
      </c>
      <c r="AO131" s="47">
        <v>0</v>
      </c>
      <c r="AP131" s="47">
        <v>1</v>
      </c>
      <c r="AQ131" s="48">
        <f t="shared" si="53"/>
        <v>76</v>
      </c>
    </row>
    <row r="132" spans="1:43" ht="18.899999999999999" customHeight="1">
      <c r="A132" s="44" t="s">
        <v>138</v>
      </c>
      <c r="B132" s="45">
        <v>63</v>
      </c>
      <c r="C132" s="46">
        <v>30</v>
      </c>
      <c r="D132" s="46">
        <v>0</v>
      </c>
      <c r="E132" s="46">
        <v>8</v>
      </c>
      <c r="F132" s="46">
        <v>1</v>
      </c>
      <c r="G132" s="46">
        <v>9</v>
      </c>
      <c r="H132" s="46">
        <v>0</v>
      </c>
      <c r="I132" s="46">
        <v>0</v>
      </c>
      <c r="J132" s="46">
        <v>3</v>
      </c>
      <c r="K132" s="47">
        <v>0</v>
      </c>
      <c r="L132" s="47">
        <v>0</v>
      </c>
      <c r="M132" s="47">
        <v>0</v>
      </c>
      <c r="N132" s="47">
        <v>0</v>
      </c>
      <c r="O132" s="47">
        <v>1</v>
      </c>
      <c r="P132" s="47">
        <v>0</v>
      </c>
      <c r="Q132" s="47">
        <v>1</v>
      </c>
      <c r="R132" s="47">
        <v>0</v>
      </c>
      <c r="S132" s="46">
        <v>0</v>
      </c>
      <c r="T132" s="47">
        <v>0</v>
      </c>
      <c r="U132" s="47">
        <v>0</v>
      </c>
      <c r="V132" s="48">
        <f t="shared" si="52"/>
        <v>116</v>
      </c>
      <c r="W132" s="45">
        <v>27</v>
      </c>
      <c r="X132" s="46">
        <v>18</v>
      </c>
      <c r="Y132" s="46">
        <v>0</v>
      </c>
      <c r="Z132" s="46">
        <v>4</v>
      </c>
      <c r="AA132" s="46">
        <v>3</v>
      </c>
      <c r="AB132" s="46">
        <v>8</v>
      </c>
      <c r="AC132" s="46">
        <v>1</v>
      </c>
      <c r="AD132" s="46">
        <v>0</v>
      </c>
      <c r="AE132" s="46">
        <v>1</v>
      </c>
      <c r="AF132" s="47">
        <v>0</v>
      </c>
      <c r="AG132" s="47">
        <v>0</v>
      </c>
      <c r="AH132" s="47">
        <v>0</v>
      </c>
      <c r="AI132" s="47">
        <v>1</v>
      </c>
      <c r="AJ132" s="47">
        <v>3</v>
      </c>
      <c r="AK132" s="47">
        <v>3</v>
      </c>
      <c r="AL132" s="47">
        <v>4</v>
      </c>
      <c r="AM132" s="47">
        <v>2</v>
      </c>
      <c r="AN132" s="46">
        <v>0</v>
      </c>
      <c r="AO132" s="47">
        <v>0</v>
      </c>
      <c r="AP132" s="47">
        <v>4</v>
      </c>
      <c r="AQ132" s="48">
        <f t="shared" si="53"/>
        <v>79</v>
      </c>
    </row>
    <row r="133" spans="1:43" ht="18.899999999999999" customHeight="1" thickBot="1">
      <c r="A133" s="49" t="s">
        <v>139</v>
      </c>
      <c r="B133" s="45">
        <v>29</v>
      </c>
      <c r="C133" s="46">
        <v>10</v>
      </c>
      <c r="D133" s="46">
        <v>2</v>
      </c>
      <c r="E133" s="46">
        <v>0</v>
      </c>
      <c r="F133" s="46">
        <v>0</v>
      </c>
      <c r="G133" s="46">
        <v>0</v>
      </c>
      <c r="H133" s="46">
        <v>0</v>
      </c>
      <c r="I133" s="46">
        <v>0</v>
      </c>
      <c r="J133" s="46">
        <v>0</v>
      </c>
      <c r="K133" s="47">
        <v>0</v>
      </c>
      <c r="L133" s="47">
        <v>0</v>
      </c>
      <c r="M133" s="47">
        <v>0</v>
      </c>
      <c r="N133" s="47">
        <v>1</v>
      </c>
      <c r="O133" s="47">
        <v>1</v>
      </c>
      <c r="P133" s="47">
        <v>0</v>
      </c>
      <c r="Q133" s="47">
        <v>0</v>
      </c>
      <c r="R133" s="47">
        <v>0</v>
      </c>
      <c r="S133" s="46">
        <v>0</v>
      </c>
      <c r="T133" s="47">
        <v>0</v>
      </c>
      <c r="U133" s="47">
        <v>0</v>
      </c>
      <c r="V133" s="48">
        <f t="shared" si="52"/>
        <v>43</v>
      </c>
      <c r="W133" s="45">
        <v>34</v>
      </c>
      <c r="X133" s="46">
        <v>19</v>
      </c>
      <c r="Y133" s="46">
        <v>0</v>
      </c>
      <c r="Z133" s="46">
        <v>3</v>
      </c>
      <c r="AA133" s="46">
        <v>2</v>
      </c>
      <c r="AB133" s="46">
        <v>8</v>
      </c>
      <c r="AC133" s="46">
        <v>0</v>
      </c>
      <c r="AD133" s="46">
        <v>0</v>
      </c>
      <c r="AE133" s="46">
        <v>3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2</v>
      </c>
      <c r="AL133" s="47">
        <v>3</v>
      </c>
      <c r="AM133" s="47">
        <v>2</v>
      </c>
      <c r="AN133" s="46">
        <v>4</v>
      </c>
      <c r="AO133" s="47">
        <v>0</v>
      </c>
      <c r="AP133" s="47">
        <v>1</v>
      </c>
      <c r="AQ133" s="48">
        <f t="shared" si="53"/>
        <v>81</v>
      </c>
    </row>
    <row r="134" spans="1:43" ht="18.899999999999999" customHeight="1" thickBot="1">
      <c r="A134" s="50" t="s">
        <v>47</v>
      </c>
      <c r="B134" s="51">
        <f t="shared" ref="B134:AQ134" si="54">SUM(B130:B133)</f>
        <v>166</v>
      </c>
      <c r="C134" s="52">
        <f t="shared" si="54"/>
        <v>85</v>
      </c>
      <c r="D134" s="52">
        <f t="shared" si="54"/>
        <v>2</v>
      </c>
      <c r="E134" s="52">
        <f t="shared" si="54"/>
        <v>23</v>
      </c>
      <c r="F134" s="52">
        <f t="shared" si="54"/>
        <v>2</v>
      </c>
      <c r="G134" s="52">
        <f t="shared" si="54"/>
        <v>24</v>
      </c>
      <c r="H134" s="52">
        <f t="shared" si="54"/>
        <v>0</v>
      </c>
      <c r="I134" s="52">
        <f t="shared" si="54"/>
        <v>0</v>
      </c>
      <c r="J134" s="52">
        <f t="shared" si="54"/>
        <v>9</v>
      </c>
      <c r="K134" s="53">
        <f t="shared" si="54"/>
        <v>1</v>
      </c>
      <c r="L134" s="53">
        <f t="shared" si="54"/>
        <v>0</v>
      </c>
      <c r="M134" s="53">
        <f t="shared" si="54"/>
        <v>0</v>
      </c>
      <c r="N134" s="53">
        <f t="shared" si="54"/>
        <v>1</v>
      </c>
      <c r="O134" s="53">
        <f t="shared" si="54"/>
        <v>7</v>
      </c>
      <c r="P134" s="53">
        <f t="shared" si="54"/>
        <v>1</v>
      </c>
      <c r="Q134" s="53">
        <f t="shared" si="54"/>
        <v>4</v>
      </c>
      <c r="R134" s="53">
        <f t="shared" si="54"/>
        <v>0</v>
      </c>
      <c r="S134" s="52">
        <f t="shared" si="54"/>
        <v>3</v>
      </c>
      <c r="T134" s="53">
        <f t="shared" si="54"/>
        <v>0</v>
      </c>
      <c r="U134" s="53">
        <f t="shared" si="54"/>
        <v>0</v>
      </c>
      <c r="V134" s="54">
        <f t="shared" si="54"/>
        <v>328</v>
      </c>
      <c r="W134" s="51">
        <f t="shared" si="54"/>
        <v>117</v>
      </c>
      <c r="X134" s="52">
        <f t="shared" si="54"/>
        <v>58</v>
      </c>
      <c r="Y134" s="52">
        <f t="shared" si="54"/>
        <v>0</v>
      </c>
      <c r="Z134" s="52">
        <f t="shared" si="54"/>
        <v>17</v>
      </c>
      <c r="AA134" s="52">
        <f t="shared" si="54"/>
        <v>7</v>
      </c>
      <c r="AB134" s="52">
        <f t="shared" si="54"/>
        <v>27</v>
      </c>
      <c r="AC134" s="52">
        <f t="shared" si="54"/>
        <v>1</v>
      </c>
      <c r="AD134" s="52">
        <f t="shared" si="54"/>
        <v>0</v>
      </c>
      <c r="AE134" s="52">
        <f t="shared" si="54"/>
        <v>6</v>
      </c>
      <c r="AF134" s="53">
        <f t="shared" si="54"/>
        <v>1</v>
      </c>
      <c r="AG134" s="53">
        <f t="shared" si="54"/>
        <v>0</v>
      </c>
      <c r="AH134" s="53">
        <f t="shared" si="54"/>
        <v>0</v>
      </c>
      <c r="AI134" s="53">
        <f t="shared" si="54"/>
        <v>4</v>
      </c>
      <c r="AJ134" s="53">
        <f t="shared" si="54"/>
        <v>17</v>
      </c>
      <c r="AK134" s="53">
        <f t="shared" si="54"/>
        <v>5</v>
      </c>
      <c r="AL134" s="53">
        <f t="shared" si="54"/>
        <v>11</v>
      </c>
      <c r="AM134" s="53">
        <f t="shared" si="54"/>
        <v>6</v>
      </c>
      <c r="AN134" s="52">
        <f t="shared" si="54"/>
        <v>5</v>
      </c>
      <c r="AO134" s="53">
        <f t="shared" si="54"/>
        <v>0</v>
      </c>
      <c r="AP134" s="53">
        <f t="shared" si="54"/>
        <v>6</v>
      </c>
      <c r="AQ134" s="54">
        <f t="shared" si="54"/>
        <v>288</v>
      </c>
    </row>
    <row r="135" spans="1:43" ht="18.899999999999999" customHeight="1" thickBot="1">
      <c r="A135" s="58" t="s">
        <v>21</v>
      </c>
      <c r="B135" s="59">
        <f t="shared" ref="B135:U135" si="55">B134+B129+B124+B119+B114+B109+B104+B99+B94+B89+B84+B79+B74+B69+B64+B59+B54+B49+B44+B39+B34+B29+B24+B19</f>
        <v>34274</v>
      </c>
      <c r="C135" s="60">
        <f t="shared" si="55"/>
        <v>6837</v>
      </c>
      <c r="D135" s="60">
        <f t="shared" si="55"/>
        <v>94</v>
      </c>
      <c r="E135" s="60">
        <f t="shared" si="55"/>
        <v>2685</v>
      </c>
      <c r="F135" s="60">
        <f t="shared" si="55"/>
        <v>407</v>
      </c>
      <c r="G135" s="60">
        <f t="shared" si="55"/>
        <v>3474</v>
      </c>
      <c r="H135" s="60">
        <f t="shared" si="55"/>
        <v>35</v>
      </c>
      <c r="I135" s="60">
        <f t="shared" si="55"/>
        <v>2</v>
      </c>
      <c r="J135" s="60">
        <f t="shared" si="55"/>
        <v>486</v>
      </c>
      <c r="K135" s="61">
        <f t="shared" si="55"/>
        <v>6</v>
      </c>
      <c r="L135" s="61">
        <f t="shared" si="55"/>
        <v>6</v>
      </c>
      <c r="M135" s="61">
        <f t="shared" si="55"/>
        <v>0</v>
      </c>
      <c r="N135" s="61">
        <f t="shared" si="55"/>
        <v>378</v>
      </c>
      <c r="O135" s="61">
        <f t="shared" si="55"/>
        <v>757</v>
      </c>
      <c r="P135" s="61">
        <f t="shared" si="55"/>
        <v>146</v>
      </c>
      <c r="Q135" s="61">
        <f t="shared" si="55"/>
        <v>146</v>
      </c>
      <c r="R135" s="61">
        <f t="shared" si="55"/>
        <v>43</v>
      </c>
      <c r="S135" s="60">
        <f t="shared" si="55"/>
        <v>894</v>
      </c>
      <c r="T135" s="61">
        <f t="shared" si="55"/>
        <v>1</v>
      </c>
      <c r="U135" s="61">
        <f t="shared" si="55"/>
        <v>385</v>
      </c>
      <c r="V135" s="62">
        <f>SUM(B135:U135)</f>
        <v>51056</v>
      </c>
      <c r="W135" s="59">
        <f t="shared" ref="W135:AP135" si="56">W134+W129+W124+W119+W114+W109+W104+W99+W94+W89+W84+W79+W74+W69+W64+W59+W54+W49+W44+W39+W34+W29+W24+W19</f>
        <v>34146</v>
      </c>
      <c r="X135" s="60">
        <f t="shared" si="56"/>
        <v>6514</v>
      </c>
      <c r="Y135" s="60">
        <f t="shared" si="56"/>
        <v>255</v>
      </c>
      <c r="Z135" s="60">
        <f t="shared" si="56"/>
        <v>2433</v>
      </c>
      <c r="AA135" s="60">
        <f t="shared" si="56"/>
        <v>625</v>
      </c>
      <c r="AB135" s="60">
        <f t="shared" si="56"/>
        <v>3681</v>
      </c>
      <c r="AC135" s="60">
        <f t="shared" si="56"/>
        <v>58</v>
      </c>
      <c r="AD135" s="60">
        <f t="shared" si="56"/>
        <v>0</v>
      </c>
      <c r="AE135" s="60">
        <f t="shared" si="56"/>
        <v>423</v>
      </c>
      <c r="AF135" s="61">
        <f t="shared" si="56"/>
        <v>3</v>
      </c>
      <c r="AG135" s="61">
        <f t="shared" si="56"/>
        <v>13</v>
      </c>
      <c r="AH135" s="61">
        <f t="shared" si="56"/>
        <v>0</v>
      </c>
      <c r="AI135" s="61">
        <f t="shared" si="56"/>
        <v>507</v>
      </c>
      <c r="AJ135" s="61">
        <f t="shared" si="56"/>
        <v>687</v>
      </c>
      <c r="AK135" s="61">
        <f t="shared" si="56"/>
        <v>136</v>
      </c>
      <c r="AL135" s="61">
        <f t="shared" si="56"/>
        <v>121</v>
      </c>
      <c r="AM135" s="61">
        <f t="shared" si="56"/>
        <v>42</v>
      </c>
      <c r="AN135" s="60">
        <f t="shared" si="56"/>
        <v>875</v>
      </c>
      <c r="AO135" s="61">
        <f t="shared" si="56"/>
        <v>10</v>
      </c>
      <c r="AP135" s="61">
        <f t="shared" si="56"/>
        <v>340</v>
      </c>
      <c r="AQ135" s="62">
        <f>SUM(W135:AP135)</f>
        <v>50869</v>
      </c>
    </row>
  </sheetData>
  <mergeCells count="43">
    <mergeCell ref="AK13:AK14"/>
    <mergeCell ref="AL13:AL14"/>
    <mergeCell ref="AM13:AM14"/>
    <mergeCell ref="AN13:AN14"/>
    <mergeCell ref="AO13:AO14"/>
    <mergeCell ref="AA13:AA14"/>
    <mergeCell ref="AB13:AB14"/>
    <mergeCell ref="AC13:AD13"/>
    <mergeCell ref="AE13:AH13"/>
    <mergeCell ref="AI13:AI14"/>
    <mergeCell ref="AJ13:AJ14"/>
    <mergeCell ref="S13:S14"/>
    <mergeCell ref="T13:T14"/>
    <mergeCell ref="W13:W14"/>
    <mergeCell ref="X13:X14"/>
    <mergeCell ref="Y13:Y14"/>
    <mergeCell ref="Z13:Z14"/>
    <mergeCell ref="J13:M13"/>
    <mergeCell ref="N13:N14"/>
    <mergeCell ref="O13:O14"/>
    <mergeCell ref="P13:P14"/>
    <mergeCell ref="Q13:Q14"/>
    <mergeCell ref="R13:R14"/>
    <mergeCell ref="AN12:AO12"/>
    <mergeCell ref="AP12:AP14"/>
    <mergeCell ref="AQ12:AQ14"/>
    <mergeCell ref="B13:B14"/>
    <mergeCell ref="C13:C14"/>
    <mergeCell ref="D13:D14"/>
    <mergeCell ref="E13:E14"/>
    <mergeCell ref="F13:F14"/>
    <mergeCell ref="G13:G14"/>
    <mergeCell ref="H13:I13"/>
    <mergeCell ref="A11:A14"/>
    <mergeCell ref="B11:V11"/>
    <mergeCell ref="W11:AQ11"/>
    <mergeCell ref="B12:M12"/>
    <mergeCell ref="N12:R12"/>
    <mergeCell ref="S12:T12"/>
    <mergeCell ref="U12:U14"/>
    <mergeCell ref="V12:V14"/>
    <mergeCell ref="W12:AH12"/>
    <mergeCell ref="AI12:AM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TVC-07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WARGHAT Aniket</dc:creator>
  <cp:lastModifiedBy>WARGHAT Aniket</cp:lastModifiedBy>
  <dcterms:created xsi:type="dcterms:W3CDTF">2026-05-07T07:08:10Z</dcterms:created>
  <dcterms:modified xsi:type="dcterms:W3CDTF">2026-05-07T07:08:30Z</dcterms:modified>
</cp:coreProperties>
</file>